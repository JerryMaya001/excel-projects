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Videos\Data Analysis\Data Analytics Journey_Jeremiah\"/>
    </mc:Choice>
  </mc:AlternateContent>
  <xr:revisionPtr revIDLastSave="0" documentId="13_ncr:1_{D3DCC5EF-EF66-433E-84D2-A55BB7B0CEDF}" xr6:coauthVersionLast="47" xr6:coauthVersionMax="47" xr10:uidLastSave="{00000000-0000-0000-0000-000000000000}"/>
  <bookViews>
    <workbookView xWindow="-110" yWindow="-110" windowWidth="19420" windowHeight="10300" activeTab="2" xr2:uid="{00000000-000D-0000-FFFF-FFFF00000000}"/>
  </bookViews>
  <sheets>
    <sheet name="HR_Data" sheetId="1" r:id="rId1"/>
    <sheet name="Control" sheetId="4" r:id="rId2"/>
    <sheet name="Dashboard" sheetId="2" r:id="rId3"/>
    <sheet name="Notes" sheetId="3" r:id="rId4"/>
  </sheets>
  <definedNames>
    <definedName name="EmployeeTable">HR_Data!$A$1:INDEX(HR_Data!$G:$G,COUNTA(HR_Data!$A:$A))</definedName>
    <definedName name="Slicer_Department">#N/A</definedName>
    <definedName name="Slicer_HMO_Status">#N/A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4" i="2" l="1"/>
  <c r="G34" i="2"/>
  <c r="G36" i="2"/>
  <c r="G38" i="2"/>
  <c r="B38" i="2"/>
  <c r="I2" i="1" a="1"/>
  <c r="I2" i="1" s="1"/>
  <c r="I3" i="1" a="1"/>
  <c r="I3" i="1" s="1"/>
  <c r="I4" i="1" a="1"/>
  <c r="I4" i="1" s="1"/>
  <c r="I5" i="1" a="1"/>
  <c r="I5" i="1" s="1"/>
  <c r="I6" i="1" a="1"/>
  <c r="I6" i="1" s="1"/>
  <c r="I7" i="1" a="1"/>
  <c r="I7" i="1" s="1"/>
  <c r="I8" i="1" a="1"/>
  <c r="I8" i="1" s="1"/>
  <c r="I9" i="1" a="1"/>
  <c r="I9" i="1"/>
  <c r="H2" i="1" a="1"/>
  <c r="H2" i="1" s="1"/>
  <c r="H3" i="1" a="1"/>
  <c r="H3" i="1" s="1"/>
  <c r="H4" i="1" a="1"/>
  <c r="H4" i="1" s="1"/>
  <c r="H5" i="1" a="1"/>
  <c r="H5" i="1" s="1"/>
  <c r="H6" i="1" a="1"/>
  <c r="H6" i="1" s="1"/>
  <c r="H7" i="1" a="1"/>
  <c r="H7" i="1" s="1"/>
  <c r="H8" i="1" a="1"/>
  <c r="H8" i="1" s="1"/>
  <c r="H9" i="1" a="1"/>
  <c r="H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<sst xmlns="http://schemas.openxmlformats.org/spreadsheetml/2006/main" count="98" uniqueCount="51">
  <si>
    <t>Staff ID</t>
  </si>
  <si>
    <t>Employee</t>
  </si>
  <si>
    <t>Department</t>
  </si>
  <si>
    <t>Salary</t>
  </si>
  <si>
    <t>KPI Score</t>
  </si>
  <si>
    <t>Attendance %</t>
  </si>
  <si>
    <t>HMO Status</t>
  </si>
  <si>
    <t>EMP001</t>
  </si>
  <si>
    <t>Jeremiah</t>
  </si>
  <si>
    <t>HR</t>
  </si>
  <si>
    <t>Active</t>
  </si>
  <si>
    <t>EMP002</t>
  </si>
  <si>
    <t>Ada</t>
  </si>
  <si>
    <t>Finance</t>
  </si>
  <si>
    <t>EMP003</t>
  </si>
  <si>
    <t>Tunde</t>
  </si>
  <si>
    <t>Sales</t>
  </si>
  <si>
    <t>Pending</t>
  </si>
  <si>
    <t>EMP004</t>
  </si>
  <si>
    <t>Chika</t>
  </si>
  <si>
    <t>Operations</t>
  </si>
  <si>
    <t>EMP005</t>
  </si>
  <si>
    <t>Kemi</t>
  </si>
  <si>
    <t>Marketing</t>
  </si>
  <si>
    <t>EMP006</t>
  </si>
  <si>
    <t>James</t>
  </si>
  <si>
    <t>EMP007</t>
  </si>
  <si>
    <t>Ruth</t>
  </si>
  <si>
    <t>EMP008</t>
  </si>
  <si>
    <t>David</t>
  </si>
  <si>
    <t>Performance</t>
  </si>
  <si>
    <t>Performance Indicators</t>
  </si>
  <si>
    <r>
      <t xml:space="preserve">I created a Performance column with </t>
    </r>
    <r>
      <rPr>
        <b/>
        <sz val="11"/>
        <color theme="1"/>
        <rFont val="Calibri"/>
        <family val="2"/>
        <scheme val="minor"/>
      </rPr>
      <t>Excellent, Good, and Needs Improvement</t>
    </r>
    <r>
      <rPr>
        <sz val="11"/>
        <color theme="1"/>
        <rFont val="Calibri"/>
        <family val="2"/>
        <scheme val="minor"/>
      </rPr>
      <t xml:space="preserve">, then tried applying the </t>
    </r>
    <r>
      <rPr>
        <b/>
        <sz val="11"/>
        <color theme="1"/>
        <rFont val="Calibri"/>
        <family val="2"/>
        <scheme val="minor"/>
      </rPr>
      <t>Traffic Light Icon Set</t>
    </r>
    <r>
      <rPr>
        <sz val="11"/>
        <color theme="1"/>
        <rFont val="Calibri"/>
        <family val="2"/>
        <scheme val="minor"/>
      </rPr>
      <t>. It didn't work.</t>
    </r>
  </si>
  <si>
    <r>
      <t xml:space="preserve">Turns out Icon Sets only work with </t>
    </r>
    <r>
      <rPr>
        <b/>
        <sz val="11"/>
        <color theme="1"/>
        <rFont val="Calibri"/>
        <family val="2"/>
        <scheme val="minor"/>
      </rPr>
      <t>numbers</t>
    </r>
    <r>
      <rPr>
        <sz val="11"/>
        <color theme="1"/>
        <rFont val="Calibri"/>
        <family val="2"/>
        <scheme val="minor"/>
      </rPr>
      <t>, not text. I created a Performance Indicator column (3, 2, 1), and it worked perfectly.</t>
    </r>
  </si>
  <si>
    <t>Learning something new every day. 🚀</t>
  </si>
  <si>
    <t>#Excel #DataAnalytics #LearningInPublic</t>
  </si>
  <si>
    <t>1. Small Excel lesson from today's practice.</t>
  </si>
  <si>
    <t>2. Dynamic Name Range is a new concept.</t>
  </si>
  <si>
    <t>Picks new entry and format them automatically</t>
  </si>
  <si>
    <t>Average KPI Score</t>
  </si>
  <si>
    <t>Average Attendance</t>
  </si>
  <si>
    <t>Active HMO Count</t>
  </si>
  <si>
    <t>Pending HMO Count</t>
  </si>
  <si>
    <t>Row Labels</t>
  </si>
  <si>
    <t>Grand Total</t>
  </si>
  <si>
    <t>Sum of Salary</t>
  </si>
  <si>
    <t>Count of Employee</t>
  </si>
  <si>
    <t>Total Employee</t>
  </si>
  <si>
    <t>Sum of KPI Score</t>
  </si>
  <si>
    <t>s</t>
  </si>
  <si>
    <t>Sum of Attendance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</si>
</sst>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DAF69"/>
        <bgColor indexed="64"/>
      </patternFill>
    </fill>
  </fills>
  <borders count="1">
    <border>
      <left/>
      <right/>
      <top/>
      <bottom/>
      <diagonal/>
    </border>
  </borders>
  <cellStyleXfs count="1">
    <xf numFmtId="0" fontId="0" fillId="0" borderId="0"/>
  </cellStyleXfs>
  <cellXfs count="17">
    <xf numFmtId="0" fontId="0" fillId="0" borderId="0" xfId="0"/>
    <xf numFmtId="3" fontId="0" fillId="0" borderId="0" xfId="0" applyNumberFormat="1"/>
    <xf numFmtId="0" fontId="1" fillId="0" borderId="0" xfId="0" applyFont="1" applyAlignment="1">
      <alignment horizontal="left" vertical="center" wrapText="1"/>
    </xf>
    <xf numFmtId="3" fontId="1" fillId="0" borderId="0" xfId="0" applyNumberFormat="1" applyFont="1" applyAlignment="1">
      <alignment horizontal="left" vertical="center" wrapText="1"/>
    </xf>
    <xf numFmtId="0" fontId="0" fillId="0" borderId="0" xfId="0" applyAlignment="1">
      <alignment horizontal="left"/>
    </xf>
    <xf numFmtId="0" fontId="0" fillId="0" borderId="0" xfId="0" applyAlignment="1">
      <alignment horizontal="left" vertical="center" wrapText="1"/>
    </xf>
    <xf numFmtId="3" fontId="0" fillId="0" borderId="0" xfId="0" applyNumberFormat="1" applyAlignment="1">
      <alignment horizontal="left" vertical="center" wrapText="1"/>
    </xf>
    <xf numFmtId="3" fontId="0" fillId="0" borderId="0" xfId="0" applyNumberFormat="1" applyAlignment="1">
      <alignment horizontal="left"/>
    </xf>
    <xf numFmtId="0" fontId="0" fillId="0" borderId="0" xfId="0" applyAlignment="1">
      <alignment horizontal="left" vertical="center"/>
    </xf>
    <xf numFmtId="0" fontId="0" fillId="0" borderId="0" xfId="0" applyNumberFormat="1"/>
    <xf numFmtId="0" fontId="0" fillId="2" borderId="0" xfId="0" applyFill="1"/>
    <xf numFmtId="0" fontId="0" fillId="2" borderId="0" xfId="0" applyFill="1" applyAlignment="1">
      <alignment horizontal="left"/>
    </xf>
    <xf numFmtId="3" fontId="0" fillId="2" borderId="0" xfId="0" applyNumberFormat="1" applyFill="1"/>
    <xf numFmtId="0" fontId="0" fillId="2" borderId="0" xfId="0" applyFill="1" applyAlignment="1">
      <alignment horizontal="center"/>
    </xf>
    <xf numFmtId="0" fontId="0" fillId="0" borderId="0" xfId="0" applyNumberFormat="1" applyAlignment="1">
      <alignment horizontal="center" vertical="center"/>
    </xf>
    <xf numFmtId="0" fontId="0" fillId="2" borderId="0" xfId="0" applyNumberFormat="1" applyFill="1"/>
    <xf numFmtId="0" fontId="0" fillId="2" borderId="0" xfId="0" applyNumberFormat="1" applyFill="1" applyAlignment="1">
      <alignment horizontal="center"/>
    </xf>
  </cellXfs>
  <cellStyles count="1">
    <cellStyle name="Normal" xfId="0" builtinId="0"/>
  </cellStyles>
  <dxfs count="54">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fgColor indexed="64"/>
          <bgColor rgb="FFFDAF69"/>
        </patternFill>
      </fill>
    </dxf>
    <dxf>
      <fill>
        <patternFill patternType="solid">
          <fgColor indexed="64"/>
          <bgColor rgb="FFFDAF69"/>
        </patternFill>
      </fill>
    </dxf>
    <dxf>
      <fill>
        <patternFill patternType="solid">
          <fgColor indexed="64"/>
          <bgColor rgb="FFFDAF69"/>
        </patternFill>
      </fill>
    </dxf>
    <dxf>
      <numFmt numFmtId="3" formatCode="#,##0"/>
      <fill>
        <patternFill patternType="solid">
          <fgColor indexed="64"/>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numFmt numFmtId="3" formatCode="#,##0"/>
    </dxf>
    <dxf>
      <numFmt numFmtId="3" formatCode="#,##0"/>
      <fill>
        <patternFill patternType="solid">
          <fgColor indexed="64"/>
          <bgColor rgb="FFFDAF69"/>
        </patternFill>
      </fill>
    </dxf>
    <dxf>
      <fill>
        <patternFill patternType="solid">
          <fgColor indexed="64"/>
          <bgColor rgb="FFFDAF69"/>
        </patternFill>
      </fill>
    </dxf>
    <dxf>
      <fill>
        <patternFill patternType="solid">
          <fgColor indexed="64"/>
          <bgColor rgb="FFFDAF69"/>
        </patternFill>
      </fill>
    </dxf>
    <dxf>
      <fill>
        <patternFill patternType="solid">
          <fgColor indexed="64"/>
          <bgColor rgb="FFFDAF69"/>
        </patternFill>
      </fill>
    </dxf>
    <dxf>
      <fill>
        <patternFill patternType="solid">
          <bgColor rgb="FFFDAF69"/>
        </patternFill>
      </fill>
    </dxf>
    <dxf>
      <fill>
        <patternFill patternType="solid">
          <bgColor rgb="FFFDAF69"/>
        </patternFill>
      </fill>
    </dxf>
    <dxf>
      <fill>
        <patternFill patternType="solid">
          <bgColor rgb="FFFDAF69"/>
        </patternFill>
      </fill>
    </dxf>
    <dxf>
      <numFmt numFmtId="3" formatCode="#,##0"/>
    </dxf>
    <dxf>
      <alignment vertical="center"/>
    </dxf>
    <dxf>
      <alignment horizontal="center"/>
    </dxf>
    <dxf>
      <fill>
        <patternFill patternType="solid">
          <fgColor indexed="64"/>
          <bgColor rgb="FFFDAF69"/>
        </patternFill>
      </fill>
      <alignment horizontal="center"/>
    </dxf>
    <dxf>
      <fill>
        <patternFill patternType="solid">
          <fgColor indexed="64"/>
          <bgColor rgb="FFFDAF69"/>
        </patternFill>
      </fill>
      <alignment horizontal="center"/>
    </dxf>
    <dxf>
      <fill>
        <patternFill patternType="solid">
          <fgColor indexed="64"/>
          <bgColor rgb="FFFDAF69"/>
        </patternFill>
      </fill>
      <alignment horizontal="center"/>
    </dxf>
    <dxf>
      <fill>
        <patternFill patternType="solid">
          <fgColor indexed="64"/>
          <bgColor rgb="FFFDAF69"/>
        </patternFill>
      </fill>
      <alignment horizontal="center"/>
    </dxf>
    <dxf>
      <fill>
        <patternFill patternType="solid">
          <fgColor indexed="64"/>
          <bgColor rgb="FFFDAF69"/>
        </patternFill>
      </fill>
      <alignment horizontal="center"/>
    </dxf>
    <dxf>
      <fill>
        <patternFill patternType="solid">
          <fgColor indexed="64"/>
          <bgColor rgb="FFFDAF69"/>
        </patternFill>
      </fill>
      <alignment horizontal="center"/>
    </dxf>
    <dxf>
      <alignment horizontal="center"/>
    </dxf>
    <dxf>
      <alignment horizontal="center"/>
    </dxf>
    <dxf>
      <fill>
        <patternFill patternType="solid">
          <fgColor indexed="64"/>
          <bgColor rgb="FFFDAF69"/>
        </patternFill>
      </fill>
    </dxf>
    <dxf>
      <fill>
        <patternFill patternType="solid">
          <fgColor indexed="64"/>
          <bgColor rgb="FFFDAF69"/>
        </patternFill>
      </fill>
    </dxf>
    <dxf>
      <numFmt numFmtId="0" formatCode="General"/>
      <alignment horizontal="left" vertical="center" textRotation="0" wrapText="1"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3" formatCode="#,##0"/>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textRotation="0" indent="0" justifyLastLine="0" shrinkToFit="0" readingOrder="0"/>
    </dxf>
    <dxf>
      <alignment horizontal="left" textRotation="0" indent="0" justifyLastLine="0" shrinkToFit="0" readingOrder="0"/>
    </dxf>
    <dxf>
      <font>
        <color rgb="FF006100"/>
      </font>
      <fill>
        <patternFill>
          <bgColor rgb="FFC6EF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s>
  <tableStyles count="0" defaultTableStyle="TableStyleMedium2" defaultPivotStyle="PivotStyleLight16"/>
  <colors>
    <mruColors>
      <color rgb="FFFDAF69"/>
      <color rgb="FFFFC0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[HR_Dashboard.xlsx]Control!PivotTable5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Control!$B$4</c:f>
              <c:strCache>
                <c:ptCount val="1"/>
                <c:pt idx="0">
                  <c:v>Total</c:v>
                </c:pt>
              </c:strCache>
            </c:strRef>
          </c:tx>
          <c:spPr>
            <a:solidFill>
              <a:srgbClr val="FDAF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Control!$A$5:$A$10</c:f>
              <c:strCache>
                <c:ptCount val="5"/>
                <c:pt idx="0">
                  <c:v>Sales</c:v>
                </c:pt>
                <c:pt idx="1">
                  <c:v>Finance</c:v>
                </c:pt>
                <c:pt idx="2">
                  <c:v>HR</c:v>
                </c:pt>
                <c:pt idx="3">
                  <c:v>Operations</c:v>
                </c:pt>
                <c:pt idx="4">
                  <c:v>Marketing</c:v>
                </c:pt>
              </c:strCache>
            </c:strRef>
          </c:cat>
          <c:val>
            <c:numRef>
              <c:f>Control!$B$5:$B$10</c:f>
              <c:numCache>
                <c:formatCode>#,##0</c:formatCode>
                <c:ptCount val="5"/>
                <c:pt idx="0">
                  <c:v>2</c:v>
                </c:pt>
                <c:pt idx="1">
                  <c:v>2</c:v>
                </c:pt>
                <c:pt idx="2">
                  <c:v>2</c:v>
                </c:pt>
                <c:pt idx="3">
                  <c:v>1</c:v>
                </c:pt>
                <c:pt idx="4">
                  <c:v>1</c:v>
                </c:pt>
              </c:numCache>
            </c:numRef>
          </c:val>
          <c:extLst>
            <c:ext xmlns:c16="http://schemas.microsoft.com/office/drawing/2014/chart" uri="{C3380CC4-5D6E-409C-BE32-E72D297353CC}">
              <c16:uniqueId val="{00000000-8E23-4D40-AFB8-00C4D4FD30BA}"/>
            </c:ext>
          </c:extLst>
        </c:ser>
        <c:dLbls>
          <c:dLblPos val="outEnd"/>
          <c:showLegendKey val="0"/>
          <c:showVal val="1"/>
          <c:showCatName val="0"/>
          <c:showSerName val="0"/>
          <c:showPercent val="0"/>
          <c:showBubbleSize val="0"/>
        </c:dLbls>
        <c:gapWidth val="219"/>
        <c:overlap val="-27"/>
        <c:axId val="1204275936"/>
        <c:axId val="1204260128"/>
      </c:barChart>
      <c:catAx>
        <c:axId val="120427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260128"/>
        <c:crosses val="autoZero"/>
        <c:auto val="1"/>
        <c:lblAlgn val="ctr"/>
        <c:lblOffset val="100"/>
        <c:noMultiLvlLbl val="0"/>
      </c:catAx>
      <c:valAx>
        <c:axId val="1204260128"/>
        <c:scaling>
          <c:orientation val="minMax"/>
        </c:scaling>
        <c:delete val="1"/>
        <c:axPos val="l"/>
        <c:numFmt formatCode="#,##0" sourceLinked="1"/>
        <c:majorTickMark val="none"/>
        <c:minorTickMark val="none"/>
        <c:tickLblPos val="nextTo"/>
        <c:crossAx val="1204275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[HR_Dashboard.xlsx]Control!PivotTable2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Control!$E$4</c:f>
              <c:strCache>
                <c:ptCount val="1"/>
                <c:pt idx="0">
                  <c:v>Total</c:v>
                </c:pt>
              </c:strCache>
            </c:strRef>
          </c:tx>
          <c:spPr>
            <a:solidFill>
              <a:srgbClr val="FDAF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Control!$D$5:$D$10</c:f>
              <c:strCache>
                <c:ptCount val="5"/>
                <c:pt idx="0">
                  <c:v>Finance</c:v>
                </c:pt>
                <c:pt idx="1">
                  <c:v>HR</c:v>
                </c:pt>
                <c:pt idx="2">
                  <c:v>Sales</c:v>
                </c:pt>
                <c:pt idx="3">
                  <c:v>Operations</c:v>
                </c:pt>
                <c:pt idx="4">
                  <c:v>Marketing</c:v>
                </c:pt>
              </c:strCache>
            </c:strRef>
          </c:cat>
          <c:val>
            <c:numRef>
              <c:f>Control!$E$5:$E$10</c:f>
              <c:numCache>
                <c:formatCode>#,##0</c:formatCode>
                <c:ptCount val="5"/>
                <c:pt idx="0">
                  <c:v>720000</c:v>
                </c:pt>
                <c:pt idx="1">
                  <c:v>600000</c:v>
                </c:pt>
                <c:pt idx="2">
                  <c:v>390000</c:v>
                </c:pt>
                <c:pt idx="3">
                  <c:v>280000</c:v>
                </c:pt>
                <c:pt idx="4">
                  <c:v>240000</c:v>
                </c:pt>
              </c:numCache>
            </c:numRef>
          </c:val>
          <c:extLst>
            <c:ext xmlns:c16="http://schemas.microsoft.com/office/drawing/2014/chart" uri="{C3380CC4-5D6E-409C-BE32-E72D297353CC}">
              <c16:uniqueId val="{00000000-6AB6-48BC-888A-30D69C0EBCAF}"/>
            </c:ext>
          </c:extLst>
        </c:ser>
        <c:dLbls>
          <c:dLblPos val="outEnd"/>
          <c:showLegendKey val="0"/>
          <c:showVal val="1"/>
          <c:showCatName val="0"/>
          <c:showSerName val="0"/>
          <c:showPercent val="0"/>
          <c:showBubbleSize val="0"/>
        </c:dLbls>
        <c:gapWidth val="219"/>
        <c:overlap val="-27"/>
        <c:axId val="1158079408"/>
        <c:axId val="1158104368"/>
      </c:barChart>
      <c:catAx>
        <c:axId val="1158079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104368"/>
        <c:crosses val="autoZero"/>
        <c:auto val="1"/>
        <c:lblAlgn val="ctr"/>
        <c:lblOffset val="100"/>
        <c:noMultiLvlLbl val="0"/>
      </c:catAx>
      <c:valAx>
        <c:axId val="1158104368"/>
        <c:scaling>
          <c:orientation val="minMax"/>
        </c:scaling>
        <c:delete val="1"/>
        <c:axPos val="l"/>
        <c:numFmt formatCode="#,##0" sourceLinked="1"/>
        <c:majorTickMark val="out"/>
        <c:minorTickMark val="none"/>
        <c:tickLblPos val="nextTo"/>
        <c:crossAx val="1158079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[HR_Dashboard.xlsx]Control!PivotTable6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Control!$H$4</c:f>
              <c:strCache>
                <c:ptCount val="1"/>
                <c:pt idx="0">
                  <c:v>Total</c:v>
                </c:pt>
              </c:strCache>
            </c:strRef>
          </c:tx>
          <c:spPr>
            <a:solidFill>
              <a:srgbClr val="FDAF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Control!$G$5:$G$10</c:f>
              <c:strCache>
                <c:ptCount val="5"/>
                <c:pt idx="0">
                  <c:v>HR</c:v>
                </c:pt>
                <c:pt idx="1">
                  <c:v>Finance</c:v>
                </c:pt>
                <c:pt idx="2">
                  <c:v>Sales</c:v>
                </c:pt>
                <c:pt idx="3">
                  <c:v>Marketing</c:v>
                </c:pt>
                <c:pt idx="4">
                  <c:v>Operations</c:v>
                </c:pt>
              </c:strCache>
            </c:strRef>
          </c:cat>
          <c:val>
            <c:numRef>
              <c:f>Control!$H$5:$H$10</c:f>
              <c:numCache>
                <c:formatCode>General</c:formatCode>
                <c:ptCount val="5"/>
                <c:pt idx="0">
                  <c:v>197</c:v>
                </c:pt>
                <c:pt idx="1">
                  <c:v>193</c:v>
                </c:pt>
                <c:pt idx="2">
                  <c:v>169</c:v>
                </c:pt>
                <c:pt idx="3">
                  <c:v>90</c:v>
                </c:pt>
                <c:pt idx="4">
                  <c:v>72</c:v>
                </c:pt>
              </c:numCache>
            </c:numRef>
          </c:val>
          <c:extLst>
            <c:ext xmlns:c16="http://schemas.microsoft.com/office/drawing/2014/chart" uri="{C3380CC4-5D6E-409C-BE32-E72D297353CC}">
              <c16:uniqueId val="{00000000-3C95-4648-9C60-A750C22871D5}"/>
            </c:ext>
          </c:extLst>
        </c:ser>
        <c:dLbls>
          <c:dLblPos val="outEnd"/>
          <c:showLegendKey val="0"/>
          <c:showVal val="1"/>
          <c:showCatName val="0"/>
          <c:showSerName val="0"/>
          <c:showPercent val="0"/>
          <c:showBubbleSize val="0"/>
        </c:dLbls>
        <c:gapWidth val="219"/>
        <c:overlap val="-27"/>
        <c:axId val="1174453408"/>
        <c:axId val="1174464640"/>
      </c:barChart>
      <c:catAx>
        <c:axId val="1174453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64640"/>
        <c:crosses val="autoZero"/>
        <c:auto val="1"/>
        <c:lblAlgn val="ctr"/>
        <c:lblOffset val="100"/>
        <c:noMultiLvlLbl val="0"/>
      </c:catAx>
      <c:valAx>
        <c:axId val="1174464640"/>
        <c:scaling>
          <c:orientation val="minMax"/>
        </c:scaling>
        <c:delete val="1"/>
        <c:axPos val="l"/>
        <c:numFmt formatCode="General" sourceLinked="1"/>
        <c:majorTickMark val="out"/>
        <c:minorTickMark val="none"/>
        <c:tickLblPos val="nextTo"/>
        <c:crossAx val="117445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[HR_Dashboard.xlsx]Control!PivotTable3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KPI Score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DAF6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Control!$P$4</c:f>
              <c:strCache>
                <c:ptCount val="1"/>
                <c:pt idx="0">
                  <c:v>Total</c:v>
                </c:pt>
              </c:strCache>
            </c:strRef>
          </c:tx>
          <c:spPr>
            <a:solidFill>
              <a:srgbClr val="FDAF6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Control!$O$5:$O$10</c:f>
              <c:strCache>
                <c:ptCount val="5"/>
                <c:pt idx="0">
                  <c:v>HR</c:v>
                </c:pt>
                <c:pt idx="1">
                  <c:v>Finance</c:v>
                </c:pt>
                <c:pt idx="2">
                  <c:v>Sales</c:v>
                </c:pt>
                <c:pt idx="3">
                  <c:v>Marketing</c:v>
                </c:pt>
                <c:pt idx="4">
                  <c:v>Operations</c:v>
                </c:pt>
              </c:strCache>
            </c:strRef>
          </c:cat>
          <c:val>
            <c:numRef>
              <c:f>Control!$P$5:$P$10</c:f>
              <c:numCache>
                <c:formatCode>General</c:formatCode>
                <c:ptCount val="5"/>
                <c:pt idx="0">
                  <c:v>195</c:v>
                </c:pt>
                <c:pt idx="1">
                  <c:v>171</c:v>
                </c:pt>
                <c:pt idx="2">
                  <c:v>112</c:v>
                </c:pt>
                <c:pt idx="3">
                  <c:v>78</c:v>
                </c:pt>
                <c:pt idx="4">
                  <c:v>45</c:v>
                </c:pt>
              </c:numCache>
            </c:numRef>
          </c:val>
          <c:extLst>
            <c:ext xmlns:c16="http://schemas.microsoft.com/office/drawing/2014/chart" uri="{C3380CC4-5D6E-409C-BE32-E72D297353CC}">
              <c16:uniqueId val="{00000000-C8CF-4FD2-9287-C21346271443}"/>
            </c:ext>
          </c:extLst>
        </c:ser>
        <c:dLbls>
          <c:dLblPos val="outEnd"/>
          <c:showLegendKey val="0"/>
          <c:showVal val="1"/>
          <c:showCatName val="0"/>
          <c:showSerName val="0"/>
          <c:showPercent val="0"/>
          <c:showBubbleSize val="0"/>
        </c:dLbls>
        <c:gapWidth val="219"/>
        <c:overlap val="-27"/>
        <c:axId val="1177184224"/>
        <c:axId val="1177181728"/>
      </c:barChart>
      <c:catAx>
        <c:axId val="11771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81728"/>
        <c:crosses val="autoZero"/>
        <c:auto val="1"/>
        <c:lblAlgn val="ctr"/>
        <c:lblOffset val="100"/>
        <c:noMultiLvlLbl val="0"/>
      </c:catAx>
      <c:valAx>
        <c:axId val="1177181728"/>
        <c:scaling>
          <c:orientation val="minMax"/>
        </c:scaling>
        <c:delete val="1"/>
        <c:axPos val="l"/>
        <c:numFmt formatCode="General" sourceLinked="1"/>
        <c:majorTickMark val="none"/>
        <c:minorTickMark val="none"/>
        <c:tickLblPos val="nextTo"/>
        <c:crossAx val="1177184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19</xdr:col>
      <xdr:colOff>45357</xdr:colOff>
      <xdr:row>3</xdr:row>
      <xdr:rowOff>0</xdr:rowOff>
    </xdr:to>
    <xdr:sp macro="" textlink="">
      <xdr:nvSpPr>
        <xdr:cNvPr id="2" name="Rectangle 1">
          <a:extLst>
            <a:ext uri="{FF2B5EF4-FFF2-40B4-BE49-F238E27FC236}">
              <a16:creationId xmlns:a16="http://schemas.microsoft.com/office/drawing/2014/main" id="{B4567213-6007-4FB8-A02C-E8EE575721DC}"/>
            </a:ext>
          </a:extLst>
        </xdr:cNvPr>
        <xdr:cNvSpPr/>
      </xdr:nvSpPr>
      <xdr:spPr>
        <a:xfrm>
          <a:off x="0" y="19050"/>
          <a:ext cx="15865928" cy="525236"/>
        </a:xfrm>
        <a:custGeom>
          <a:avLst/>
          <a:gdLst>
            <a:gd name="connsiteX0" fmla="*/ 0 w 5384800"/>
            <a:gd name="connsiteY0" fmla="*/ 0 h 546100"/>
            <a:gd name="connsiteX1" fmla="*/ 5384800 w 5384800"/>
            <a:gd name="connsiteY1" fmla="*/ 0 h 546100"/>
            <a:gd name="connsiteX2" fmla="*/ 5384800 w 5384800"/>
            <a:gd name="connsiteY2" fmla="*/ 546100 h 546100"/>
            <a:gd name="connsiteX3" fmla="*/ 0 w 5384800"/>
            <a:gd name="connsiteY3" fmla="*/ 546100 h 546100"/>
            <a:gd name="connsiteX4" fmla="*/ 0 w 5384800"/>
            <a:gd name="connsiteY4" fmla="*/ 0 h 546100"/>
            <a:gd name="connsiteX0" fmla="*/ 0 w 5384800"/>
            <a:gd name="connsiteY0" fmla="*/ 0 h 565150"/>
            <a:gd name="connsiteX1" fmla="*/ 5384800 w 5384800"/>
            <a:gd name="connsiteY1" fmla="*/ 0 h 565150"/>
            <a:gd name="connsiteX2" fmla="*/ 5384800 w 5384800"/>
            <a:gd name="connsiteY2" fmla="*/ 565150 h 565150"/>
            <a:gd name="connsiteX3" fmla="*/ 0 w 5384800"/>
            <a:gd name="connsiteY3" fmla="*/ 546100 h 565150"/>
            <a:gd name="connsiteX4" fmla="*/ 0 w 5384800"/>
            <a:gd name="connsiteY4" fmla="*/ 0 h 5651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5384800" h="565150">
              <a:moveTo>
                <a:pt x="0" y="0"/>
              </a:moveTo>
              <a:lnTo>
                <a:pt x="5384800" y="0"/>
              </a:lnTo>
              <a:lnTo>
                <a:pt x="5384800" y="565150"/>
              </a:lnTo>
              <a:lnTo>
                <a:pt x="0" y="546100"/>
              </a:lnTo>
              <a:lnTo>
                <a:pt x="0" y="0"/>
              </a:lnTo>
              <a:close/>
            </a:path>
          </a:pathLst>
        </a:cu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latin typeface="BEACHWORKS" pitchFamily="2" charset="0"/>
            </a:rPr>
            <a:t>HR DASHBOARD</a:t>
          </a:r>
        </a:p>
      </xdr:txBody>
    </xdr:sp>
    <xdr:clientData/>
  </xdr:twoCellAnchor>
  <xdr:twoCellAnchor>
    <xdr:from>
      <xdr:col>0</xdr:col>
      <xdr:colOff>0</xdr:colOff>
      <xdr:row>4</xdr:row>
      <xdr:rowOff>29880</xdr:rowOff>
    </xdr:from>
    <xdr:to>
      <xdr:col>2</xdr:col>
      <xdr:colOff>7840</xdr:colOff>
      <xdr:row>7</xdr:row>
      <xdr:rowOff>6348</xdr:rowOff>
    </xdr:to>
    <xdr:grpSp>
      <xdr:nvGrpSpPr>
        <xdr:cNvPr id="11" name="Group 10">
          <a:extLst>
            <a:ext uri="{FF2B5EF4-FFF2-40B4-BE49-F238E27FC236}">
              <a16:creationId xmlns:a16="http://schemas.microsoft.com/office/drawing/2014/main" id="{48A8E23F-07DD-4673-B428-633AF9CC51EC}"/>
            </a:ext>
          </a:extLst>
        </xdr:cNvPr>
        <xdr:cNvGrpSpPr/>
      </xdr:nvGrpSpPr>
      <xdr:grpSpPr>
        <a:xfrm>
          <a:off x="0" y="755594"/>
          <a:ext cx="2203126" cy="520754"/>
          <a:chOff x="19050" y="1750318"/>
          <a:chExt cx="1714500" cy="529332"/>
        </a:xfrm>
      </xdr:grpSpPr>
      <xdr:sp macro="" textlink="">
        <xdr:nvSpPr>
          <xdr:cNvPr id="3" name="Rectangle: Rounded Corners 2">
            <a:extLst>
              <a:ext uri="{FF2B5EF4-FFF2-40B4-BE49-F238E27FC236}">
                <a16:creationId xmlns:a16="http://schemas.microsoft.com/office/drawing/2014/main" id="{F75FF416-7F7A-497B-985D-7C953E1216B4}"/>
              </a:ext>
            </a:extLst>
          </xdr:cNvPr>
          <xdr:cNvSpPr/>
        </xdr:nvSpPr>
        <xdr:spPr>
          <a:xfrm>
            <a:off x="19050" y="1750318"/>
            <a:ext cx="1714500" cy="529332"/>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BEACHWORKS" pitchFamily="2" charset="0"/>
              </a:rPr>
              <a:t>Total</a:t>
            </a:r>
            <a:r>
              <a:rPr lang="en-US" sz="1100" baseline="0">
                <a:latin typeface="BEACHWORKS" pitchFamily="2" charset="0"/>
              </a:rPr>
              <a:t> Employee</a:t>
            </a:r>
            <a:endParaRPr lang="en-US" sz="1100">
              <a:latin typeface="BEACHWORKS" pitchFamily="2" charset="0"/>
            </a:endParaRPr>
          </a:p>
        </xdr:txBody>
      </xdr:sp>
      <xdr:sp macro="" textlink="$B$34">
        <xdr:nvSpPr>
          <xdr:cNvPr id="9" name="TextBox 8">
            <a:extLst>
              <a:ext uri="{FF2B5EF4-FFF2-40B4-BE49-F238E27FC236}">
                <a16:creationId xmlns:a16="http://schemas.microsoft.com/office/drawing/2014/main" id="{955D95BF-ED54-4613-9FBA-D5EB5D51ED27}"/>
              </a:ext>
            </a:extLst>
          </xdr:cNvPr>
          <xdr:cNvSpPr txBox="1"/>
        </xdr:nvSpPr>
        <xdr:spPr>
          <a:xfrm>
            <a:off x="707687" y="2029322"/>
            <a:ext cx="5207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97EEAA-5053-4D2E-8ACD-C8BEC63EF1CD}" type="TxLink">
              <a:rPr lang="en-US" sz="1100" b="0" i="0" u="none" strike="noStrike">
                <a:solidFill>
                  <a:schemeClr val="bg1"/>
                </a:solidFill>
                <a:latin typeface="BEACHWORKS" pitchFamily="2" charset="0"/>
                <a:cs typeface="Calibri"/>
              </a:rPr>
              <a:pPr/>
              <a:t>8</a:t>
            </a:fld>
            <a:endParaRPr lang="en-US" sz="1100">
              <a:solidFill>
                <a:schemeClr val="bg1"/>
              </a:solidFill>
              <a:latin typeface="BEACHWORKS" pitchFamily="2" charset="0"/>
            </a:endParaRPr>
          </a:p>
        </xdr:txBody>
      </xdr:sp>
    </xdr:grpSp>
    <xdr:clientData/>
  </xdr:twoCellAnchor>
  <xdr:twoCellAnchor>
    <xdr:from>
      <xdr:col>4</xdr:col>
      <xdr:colOff>760430</xdr:colOff>
      <xdr:row>3</xdr:row>
      <xdr:rowOff>178458</xdr:rowOff>
    </xdr:from>
    <xdr:to>
      <xdr:col>7</xdr:col>
      <xdr:colOff>550147</xdr:colOff>
      <xdr:row>7</xdr:row>
      <xdr:rowOff>15680</xdr:rowOff>
    </xdr:to>
    <xdr:grpSp>
      <xdr:nvGrpSpPr>
        <xdr:cNvPr id="12" name="Group 11">
          <a:extLst>
            <a:ext uri="{FF2B5EF4-FFF2-40B4-BE49-F238E27FC236}">
              <a16:creationId xmlns:a16="http://schemas.microsoft.com/office/drawing/2014/main" id="{D0FC9CAE-F4C6-4242-AD09-BAAC5EE5595A}"/>
            </a:ext>
          </a:extLst>
        </xdr:cNvPr>
        <xdr:cNvGrpSpPr/>
      </xdr:nvGrpSpPr>
      <xdr:grpSpPr>
        <a:xfrm>
          <a:off x="4298287" y="722744"/>
          <a:ext cx="2166431" cy="562936"/>
          <a:chOff x="3219723" y="1684280"/>
          <a:chExt cx="1489811" cy="558800"/>
        </a:xfrm>
      </xdr:grpSpPr>
      <xdr:sp macro="" textlink="">
        <xdr:nvSpPr>
          <xdr:cNvPr id="6" name="Rectangle: Rounded Corners 5">
            <a:extLst>
              <a:ext uri="{FF2B5EF4-FFF2-40B4-BE49-F238E27FC236}">
                <a16:creationId xmlns:a16="http://schemas.microsoft.com/office/drawing/2014/main" id="{7361110B-0394-4AE2-A103-15232BC739C4}"/>
              </a:ext>
            </a:extLst>
          </xdr:cNvPr>
          <xdr:cNvSpPr/>
        </xdr:nvSpPr>
        <xdr:spPr>
          <a:xfrm>
            <a:off x="3219723" y="1684280"/>
            <a:ext cx="1489811" cy="558800"/>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BEACHWORKS" pitchFamily="2" charset="0"/>
                <a:ea typeface="+mn-ea"/>
                <a:cs typeface="+mn-cs"/>
              </a:rPr>
              <a:t>Average attendance</a:t>
            </a:r>
          </a:p>
        </xdr:txBody>
      </xdr:sp>
      <xdr:sp macro="" textlink="$G$34">
        <xdr:nvSpPr>
          <xdr:cNvPr id="10" name="TextBox 9">
            <a:extLst>
              <a:ext uri="{FF2B5EF4-FFF2-40B4-BE49-F238E27FC236}">
                <a16:creationId xmlns:a16="http://schemas.microsoft.com/office/drawing/2014/main" id="{2E63B83A-8F0B-46A3-AECB-4F19F6AA64BC}"/>
              </a:ext>
            </a:extLst>
          </xdr:cNvPr>
          <xdr:cNvSpPr txBox="1"/>
        </xdr:nvSpPr>
        <xdr:spPr>
          <a:xfrm>
            <a:off x="3769807" y="1976380"/>
            <a:ext cx="52070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EFCAB7-8CD4-4B0A-9165-B9514418779C}" type="TxLink">
              <a:rPr lang="en-US" sz="1100" b="0" i="0" u="none" strike="noStrike">
                <a:solidFill>
                  <a:schemeClr val="bg1"/>
                </a:solidFill>
                <a:latin typeface="BEACHWORKS" pitchFamily="2" charset="0"/>
                <a:cs typeface="Calibri"/>
              </a:rPr>
              <a:pPr/>
              <a:t>72.1</a:t>
            </a:fld>
            <a:endParaRPr lang="en-US" sz="1100">
              <a:solidFill>
                <a:schemeClr val="bg1"/>
              </a:solidFill>
              <a:latin typeface="BEACHWORKS" pitchFamily="2" charset="0"/>
            </a:endParaRPr>
          </a:p>
        </xdr:txBody>
      </xdr:sp>
    </xdr:grpSp>
    <xdr:clientData/>
  </xdr:twoCellAnchor>
  <xdr:twoCellAnchor>
    <xdr:from>
      <xdr:col>7</xdr:col>
      <xdr:colOff>667768</xdr:colOff>
      <xdr:row>3</xdr:row>
      <xdr:rowOff>179203</xdr:rowOff>
    </xdr:from>
    <xdr:to>
      <xdr:col>9</xdr:col>
      <xdr:colOff>1183766</xdr:colOff>
      <xdr:row>7</xdr:row>
      <xdr:rowOff>27282</xdr:rowOff>
    </xdr:to>
    <xdr:grpSp>
      <xdr:nvGrpSpPr>
        <xdr:cNvPr id="14" name="Group 13">
          <a:extLst>
            <a:ext uri="{FF2B5EF4-FFF2-40B4-BE49-F238E27FC236}">
              <a16:creationId xmlns:a16="http://schemas.microsoft.com/office/drawing/2014/main" id="{1A4A08C6-B79F-4801-9A95-80CD416D5165}"/>
            </a:ext>
          </a:extLst>
        </xdr:cNvPr>
        <xdr:cNvGrpSpPr/>
      </xdr:nvGrpSpPr>
      <xdr:grpSpPr>
        <a:xfrm>
          <a:off x="6582339" y="723489"/>
          <a:ext cx="2402856" cy="573793"/>
          <a:chOff x="2921000" y="2393950"/>
          <a:chExt cx="1695450" cy="558800"/>
        </a:xfrm>
      </xdr:grpSpPr>
      <xdr:sp macro="" textlink="">
        <xdr:nvSpPr>
          <xdr:cNvPr id="7" name="Rectangle: Rounded Corners 6">
            <a:extLst>
              <a:ext uri="{FF2B5EF4-FFF2-40B4-BE49-F238E27FC236}">
                <a16:creationId xmlns:a16="http://schemas.microsoft.com/office/drawing/2014/main" id="{B735A027-808D-4DFF-BEAF-939684307C36}"/>
              </a:ext>
            </a:extLst>
          </xdr:cNvPr>
          <xdr:cNvSpPr/>
        </xdr:nvSpPr>
        <xdr:spPr>
          <a:xfrm>
            <a:off x="2921000" y="2393950"/>
            <a:ext cx="1695450" cy="558800"/>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BEACHWORKS" pitchFamily="2" charset="0"/>
                <a:ea typeface="+mn-ea"/>
                <a:cs typeface="+mn-cs"/>
              </a:rPr>
              <a:t>active hmo counts</a:t>
            </a:r>
          </a:p>
        </xdr:txBody>
      </xdr:sp>
      <xdr:sp macro="" textlink="$G$36">
        <xdr:nvSpPr>
          <xdr:cNvPr id="13" name="TextBox 12">
            <a:extLst>
              <a:ext uri="{FF2B5EF4-FFF2-40B4-BE49-F238E27FC236}">
                <a16:creationId xmlns:a16="http://schemas.microsoft.com/office/drawing/2014/main" id="{2B92DA02-89CF-4824-BFAB-0EC297CCC566}"/>
              </a:ext>
            </a:extLst>
          </xdr:cNvPr>
          <xdr:cNvSpPr txBox="1"/>
        </xdr:nvSpPr>
        <xdr:spPr>
          <a:xfrm>
            <a:off x="3619500" y="2660650"/>
            <a:ext cx="43180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98E483-E56E-4F54-B392-43BF74FEE035}" type="TxLink">
              <a:rPr lang="en-US" sz="1100" b="0" i="0" u="none" strike="noStrike">
                <a:solidFill>
                  <a:schemeClr val="bg1"/>
                </a:solidFill>
                <a:latin typeface="BEACHWORKS" pitchFamily="2" charset="0"/>
                <a:cs typeface="Calibri"/>
              </a:rPr>
              <a:pPr/>
              <a:t>6</a:t>
            </a:fld>
            <a:endParaRPr lang="en-US" sz="1100">
              <a:solidFill>
                <a:schemeClr val="bg1"/>
              </a:solidFill>
              <a:latin typeface="BEACHWORKS" pitchFamily="2" charset="0"/>
            </a:endParaRPr>
          </a:p>
        </xdr:txBody>
      </xdr:sp>
    </xdr:grpSp>
    <xdr:clientData/>
  </xdr:twoCellAnchor>
  <xdr:twoCellAnchor>
    <xdr:from>
      <xdr:col>2</xdr:col>
      <xdr:colOff>94074</xdr:colOff>
      <xdr:row>4</xdr:row>
      <xdr:rowOff>11211</xdr:rowOff>
    </xdr:from>
    <xdr:to>
      <xdr:col>4</xdr:col>
      <xdr:colOff>642839</xdr:colOff>
      <xdr:row>7</xdr:row>
      <xdr:rowOff>17561</xdr:rowOff>
    </xdr:to>
    <xdr:grpSp>
      <xdr:nvGrpSpPr>
        <xdr:cNvPr id="16" name="Group 15">
          <a:extLst>
            <a:ext uri="{FF2B5EF4-FFF2-40B4-BE49-F238E27FC236}">
              <a16:creationId xmlns:a16="http://schemas.microsoft.com/office/drawing/2014/main" id="{DEF77A6C-2A95-4C5C-BED3-3EE6A5AC371E}"/>
            </a:ext>
          </a:extLst>
        </xdr:cNvPr>
        <xdr:cNvGrpSpPr/>
      </xdr:nvGrpSpPr>
      <xdr:grpSpPr>
        <a:xfrm>
          <a:off x="2289360" y="736925"/>
          <a:ext cx="1891336" cy="550636"/>
          <a:chOff x="1769490" y="1676400"/>
          <a:chExt cx="1695450" cy="558800"/>
        </a:xfrm>
      </xdr:grpSpPr>
      <xdr:sp macro="" textlink="">
        <xdr:nvSpPr>
          <xdr:cNvPr id="4" name="Rectangle: Rounded Corners 3">
            <a:extLst>
              <a:ext uri="{FF2B5EF4-FFF2-40B4-BE49-F238E27FC236}">
                <a16:creationId xmlns:a16="http://schemas.microsoft.com/office/drawing/2014/main" id="{9EF251B7-3696-4614-B566-23770CB9078B}"/>
              </a:ext>
            </a:extLst>
          </xdr:cNvPr>
          <xdr:cNvSpPr/>
        </xdr:nvSpPr>
        <xdr:spPr>
          <a:xfrm>
            <a:off x="1769490" y="1676400"/>
            <a:ext cx="1695450" cy="558800"/>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BEACHWORKS" pitchFamily="2" charset="0"/>
                <a:ea typeface="+mn-ea"/>
                <a:cs typeface="+mn-cs"/>
              </a:rPr>
              <a:t>Average Salary</a:t>
            </a:r>
          </a:p>
        </xdr:txBody>
      </xdr:sp>
      <xdr:sp macro="" textlink="#REF!">
        <xdr:nvSpPr>
          <xdr:cNvPr id="15" name="TextBox 14">
            <a:extLst>
              <a:ext uri="{FF2B5EF4-FFF2-40B4-BE49-F238E27FC236}">
                <a16:creationId xmlns:a16="http://schemas.microsoft.com/office/drawing/2014/main" id="{D45510DF-1FA2-45A3-BD40-DE9E691CFB7A}"/>
              </a:ext>
            </a:extLst>
          </xdr:cNvPr>
          <xdr:cNvSpPr txBox="1"/>
        </xdr:nvSpPr>
        <xdr:spPr>
          <a:xfrm>
            <a:off x="2290190" y="1962150"/>
            <a:ext cx="736599"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61492B-0C20-4F81-9B41-DFBB2D62E0D8}" type="TxLink">
              <a:rPr lang="en-US" sz="1100" b="0" i="0" u="none" strike="noStrike">
                <a:solidFill>
                  <a:schemeClr val="bg1"/>
                </a:solidFill>
                <a:latin typeface="BEACHWORKS" pitchFamily="2" charset="0"/>
                <a:cs typeface="Calibri"/>
              </a:rPr>
              <a:pPr/>
              <a:t>278,750</a:t>
            </a:fld>
            <a:endParaRPr lang="en-US" sz="1100">
              <a:solidFill>
                <a:schemeClr val="bg1"/>
              </a:solidFill>
              <a:latin typeface="BEACHWORKS" pitchFamily="2" charset="0"/>
            </a:endParaRPr>
          </a:p>
        </xdr:txBody>
      </xdr:sp>
    </xdr:grpSp>
    <xdr:clientData/>
  </xdr:twoCellAnchor>
  <xdr:twoCellAnchor>
    <xdr:from>
      <xdr:col>13</xdr:col>
      <xdr:colOff>78395</xdr:colOff>
      <xdr:row>4</xdr:row>
      <xdr:rowOff>16449</xdr:rowOff>
    </xdr:from>
    <xdr:to>
      <xdr:col>16</xdr:col>
      <xdr:colOff>109753</xdr:colOff>
      <xdr:row>7</xdr:row>
      <xdr:rowOff>22799</xdr:rowOff>
    </xdr:to>
    <xdr:grpSp>
      <xdr:nvGrpSpPr>
        <xdr:cNvPr id="21" name="Group 20">
          <a:extLst>
            <a:ext uri="{FF2B5EF4-FFF2-40B4-BE49-F238E27FC236}">
              <a16:creationId xmlns:a16="http://schemas.microsoft.com/office/drawing/2014/main" id="{F954CA77-EA93-46DD-B671-14D1AD15A329}"/>
            </a:ext>
          </a:extLst>
        </xdr:cNvPr>
        <xdr:cNvGrpSpPr/>
      </xdr:nvGrpSpPr>
      <xdr:grpSpPr>
        <a:xfrm>
          <a:off x="11580966" y="742163"/>
          <a:ext cx="2371787" cy="550636"/>
          <a:chOff x="7637735" y="806450"/>
          <a:chExt cx="1339850" cy="558800"/>
        </a:xfrm>
      </xdr:grpSpPr>
      <xdr:sp macro="" textlink="">
        <xdr:nvSpPr>
          <xdr:cNvPr id="5" name="Rectangle: Rounded Corners 4">
            <a:extLst>
              <a:ext uri="{FF2B5EF4-FFF2-40B4-BE49-F238E27FC236}">
                <a16:creationId xmlns:a16="http://schemas.microsoft.com/office/drawing/2014/main" id="{F548DC19-70C8-45A5-912F-6203CA273B91}"/>
              </a:ext>
            </a:extLst>
          </xdr:cNvPr>
          <xdr:cNvSpPr/>
        </xdr:nvSpPr>
        <xdr:spPr>
          <a:xfrm>
            <a:off x="7637735" y="806450"/>
            <a:ext cx="1339850" cy="558800"/>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BEACHWORKS" pitchFamily="2" charset="0"/>
                <a:ea typeface="+mn-ea"/>
                <a:cs typeface="+mn-cs"/>
              </a:rPr>
              <a:t>Average KPI Score</a:t>
            </a:r>
          </a:p>
        </xdr:txBody>
      </xdr:sp>
      <xdr:sp macro="" textlink="$B$38">
        <xdr:nvSpPr>
          <xdr:cNvPr id="19" name="TextBox 18">
            <a:extLst>
              <a:ext uri="{FF2B5EF4-FFF2-40B4-BE49-F238E27FC236}">
                <a16:creationId xmlns:a16="http://schemas.microsoft.com/office/drawing/2014/main" id="{23B60682-BC90-4B1E-A939-958122387130}"/>
              </a:ext>
            </a:extLst>
          </xdr:cNvPr>
          <xdr:cNvSpPr txBox="1"/>
        </xdr:nvSpPr>
        <xdr:spPr>
          <a:xfrm>
            <a:off x="8285435" y="1111250"/>
            <a:ext cx="133350"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71902C-4AB4-4D45-B4D0-9B3B7055BAAA}" type="TxLink">
              <a:rPr lang="en-US" sz="1100" b="0" i="0" u="none" strike="noStrike">
                <a:solidFill>
                  <a:schemeClr val="bg1"/>
                </a:solidFill>
                <a:latin typeface="BEACHWORKS" pitchFamily="2" charset="0"/>
                <a:cs typeface="Calibri"/>
              </a:rPr>
              <a:pPr/>
              <a:t>66.77777778</a:t>
            </a:fld>
            <a:endParaRPr lang="en-US" sz="1100">
              <a:solidFill>
                <a:schemeClr val="bg1"/>
              </a:solidFill>
              <a:latin typeface="BEACHWORKS" pitchFamily="2" charset="0"/>
            </a:endParaRPr>
          </a:p>
        </xdr:txBody>
      </xdr:sp>
    </xdr:grpSp>
    <xdr:clientData/>
  </xdr:twoCellAnchor>
  <xdr:twoCellAnchor>
    <xdr:from>
      <xdr:col>10</xdr:col>
      <xdr:colOff>86234</xdr:colOff>
      <xdr:row>4</xdr:row>
      <xdr:rowOff>19059</xdr:rowOff>
    </xdr:from>
    <xdr:to>
      <xdr:col>12</xdr:col>
      <xdr:colOff>676257</xdr:colOff>
      <xdr:row>7</xdr:row>
      <xdr:rowOff>25409</xdr:rowOff>
    </xdr:to>
    <xdr:grpSp>
      <xdr:nvGrpSpPr>
        <xdr:cNvPr id="18" name="Group 17">
          <a:extLst>
            <a:ext uri="{FF2B5EF4-FFF2-40B4-BE49-F238E27FC236}">
              <a16:creationId xmlns:a16="http://schemas.microsoft.com/office/drawing/2014/main" id="{E8C6FA18-E622-453E-9152-E8C24B190B71}"/>
            </a:ext>
          </a:extLst>
        </xdr:cNvPr>
        <xdr:cNvGrpSpPr/>
      </xdr:nvGrpSpPr>
      <xdr:grpSpPr>
        <a:xfrm>
          <a:off x="9103234" y="744773"/>
          <a:ext cx="2313594" cy="550636"/>
          <a:chOff x="7109206" y="1714500"/>
          <a:chExt cx="1747267" cy="558800"/>
        </a:xfrm>
      </xdr:grpSpPr>
      <xdr:sp macro="" textlink="">
        <xdr:nvSpPr>
          <xdr:cNvPr id="22" name="Rectangle: Rounded Corners 21">
            <a:extLst>
              <a:ext uri="{FF2B5EF4-FFF2-40B4-BE49-F238E27FC236}">
                <a16:creationId xmlns:a16="http://schemas.microsoft.com/office/drawing/2014/main" id="{055CC945-E51D-49AC-A423-0FA9B6DF0511}"/>
              </a:ext>
            </a:extLst>
          </xdr:cNvPr>
          <xdr:cNvSpPr/>
        </xdr:nvSpPr>
        <xdr:spPr>
          <a:xfrm>
            <a:off x="7109206" y="1714500"/>
            <a:ext cx="1747267" cy="558800"/>
          </a:xfrm>
          <a:prstGeom prst="roundRect">
            <a:avLst/>
          </a:prstGeom>
          <a:solidFill>
            <a:srgbClr val="FDAF6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a:solidFill>
                  <a:schemeClr val="lt1"/>
                </a:solidFill>
                <a:latin typeface="BEACHWORKS" pitchFamily="2" charset="0"/>
                <a:ea typeface="+mn-ea"/>
                <a:cs typeface="+mn-cs"/>
              </a:rPr>
              <a:t>pending hmo counts</a:t>
            </a:r>
          </a:p>
        </xdr:txBody>
      </xdr:sp>
      <xdr:sp macro="" textlink="$G$38">
        <xdr:nvSpPr>
          <xdr:cNvPr id="23" name="TextBox 22">
            <a:extLst>
              <a:ext uri="{FF2B5EF4-FFF2-40B4-BE49-F238E27FC236}">
                <a16:creationId xmlns:a16="http://schemas.microsoft.com/office/drawing/2014/main" id="{D28E2233-7113-4EF1-A0B0-C0DE9EFDBC39}"/>
              </a:ext>
            </a:extLst>
          </xdr:cNvPr>
          <xdr:cNvSpPr txBox="1"/>
        </xdr:nvSpPr>
        <xdr:spPr>
          <a:xfrm>
            <a:off x="7825566" y="1987550"/>
            <a:ext cx="585054"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65ACF4-5781-4C3B-B8A0-6BAF2D55926D}" type="TxLink">
              <a:rPr lang="en-US" sz="1100" b="0" i="0" u="none" strike="noStrike">
                <a:solidFill>
                  <a:schemeClr val="bg1"/>
                </a:solidFill>
                <a:latin typeface="BEACHWORKS" pitchFamily="2" charset="0"/>
                <a:cs typeface="Calibri"/>
              </a:rPr>
              <a:pPr/>
              <a:t>2</a:t>
            </a:fld>
            <a:endParaRPr lang="en-US" sz="1100">
              <a:solidFill>
                <a:schemeClr val="bg1"/>
              </a:solidFill>
              <a:latin typeface="BEACHWORKS" pitchFamily="2" charset="0"/>
            </a:endParaRPr>
          </a:p>
        </xdr:txBody>
      </xdr:sp>
    </xdr:grpSp>
    <xdr:clientData/>
  </xdr:twoCellAnchor>
  <xdr:twoCellAnchor editAs="oneCell">
    <xdr:from>
      <xdr:col>2</xdr:col>
      <xdr:colOff>234576</xdr:colOff>
      <xdr:row>8</xdr:row>
      <xdr:rowOff>41074</xdr:rowOff>
    </xdr:from>
    <xdr:to>
      <xdr:col>7</xdr:col>
      <xdr:colOff>1233681</xdr:colOff>
      <xdr:row>11</xdr:row>
      <xdr:rowOff>160123</xdr:rowOff>
    </xdr:to>
    <mc:AlternateContent xmlns:mc="http://schemas.openxmlformats.org/markup-compatibility/2006" xmlns:a14="http://schemas.microsoft.com/office/drawing/2010/main">
      <mc:Choice Requires="a14">
        <xdr:graphicFrame macro="">
          <xdr:nvGraphicFramePr>
            <xdr:cNvPr id="25" name="Department">
              <a:extLst>
                <a:ext uri="{FF2B5EF4-FFF2-40B4-BE49-F238E27FC236}">
                  <a16:creationId xmlns:a16="http://schemas.microsoft.com/office/drawing/2014/main" id="{1EE23E57-A827-4CBD-969A-081191F45B3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437477" y="1483543"/>
              <a:ext cx="4722871" cy="659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232435</xdr:colOff>
      <xdr:row>7</xdr:row>
      <xdr:rowOff>169166</xdr:rowOff>
    </xdr:from>
    <xdr:to>
      <xdr:col>14</xdr:col>
      <xdr:colOff>485817</xdr:colOff>
      <xdr:row>11</xdr:row>
      <xdr:rowOff>129463</xdr:rowOff>
    </xdr:to>
    <mc:AlternateContent xmlns:mc="http://schemas.openxmlformats.org/markup-compatibility/2006" xmlns:a14="http://schemas.microsoft.com/office/drawing/2010/main">
      <mc:Choice Requires="a14">
        <xdr:graphicFrame macro="">
          <xdr:nvGraphicFramePr>
            <xdr:cNvPr id="26" name="HMO Status">
              <a:extLst>
                <a:ext uri="{FF2B5EF4-FFF2-40B4-BE49-F238E27FC236}">
                  <a16:creationId xmlns:a16="http://schemas.microsoft.com/office/drawing/2014/main" id="{7949F5F5-622E-4BB0-931A-A6A884B7694F}"/>
                </a:ext>
              </a:extLst>
            </xdr:cNvPr>
            <xdr:cNvGraphicFramePr/>
          </xdr:nvGraphicFramePr>
          <xdr:xfrm>
            <a:off x="0" y="0"/>
            <a:ext cx="0" cy="0"/>
          </xdr:xfrm>
          <a:graphic>
            <a:graphicData uri="http://schemas.microsoft.com/office/drawing/2010/slicer">
              <sle:slicer xmlns:sle="http://schemas.microsoft.com/office/drawing/2010/slicer" name="HMO Status"/>
            </a:graphicData>
          </a:graphic>
        </xdr:graphicFrame>
      </mc:Choice>
      <mc:Fallback xmlns="">
        <xdr:sp macro="" textlink="">
          <xdr:nvSpPr>
            <xdr:cNvPr id="0" name=""/>
            <xdr:cNvSpPr>
              <a:spLocks noTextEdit="1"/>
            </xdr:cNvSpPr>
          </xdr:nvSpPr>
          <xdr:spPr>
            <a:xfrm>
              <a:off x="9249435" y="1439166"/>
              <a:ext cx="3065525" cy="6860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xdr:rowOff>
    </xdr:from>
    <xdr:to>
      <xdr:col>4</xdr:col>
      <xdr:colOff>321420</xdr:colOff>
      <xdr:row>24</xdr:row>
      <xdr:rowOff>7840</xdr:rowOff>
    </xdr:to>
    <xdr:graphicFrame macro="">
      <xdr:nvGraphicFramePr>
        <xdr:cNvPr id="24" name="Chart 23">
          <a:extLst>
            <a:ext uri="{FF2B5EF4-FFF2-40B4-BE49-F238E27FC236}">
              <a16:creationId xmlns:a16="http://schemas.microsoft.com/office/drawing/2014/main" id="{CB5DA8DD-EC3D-4E13-82D4-12FC5BDE4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478210</xdr:colOff>
      <xdr:row>12</xdr:row>
      <xdr:rowOff>164629</xdr:rowOff>
    </xdr:from>
    <xdr:to>
      <xdr:col>9</xdr:col>
      <xdr:colOff>78396</xdr:colOff>
      <xdr:row>24</xdr:row>
      <xdr:rowOff>0</xdr:rowOff>
    </xdr:to>
    <xdr:graphicFrame macro="">
      <xdr:nvGraphicFramePr>
        <xdr:cNvPr id="27" name="Chart 26">
          <a:extLst>
            <a:ext uri="{FF2B5EF4-FFF2-40B4-BE49-F238E27FC236}">
              <a16:creationId xmlns:a16="http://schemas.microsoft.com/office/drawing/2014/main" id="{66915D3E-8556-4F1A-889C-B65AF64DD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219506</xdr:colOff>
      <xdr:row>12</xdr:row>
      <xdr:rowOff>141111</xdr:rowOff>
    </xdr:from>
    <xdr:to>
      <xdr:col>14</xdr:col>
      <xdr:colOff>39197</xdr:colOff>
      <xdr:row>23</xdr:row>
      <xdr:rowOff>164629</xdr:rowOff>
    </xdr:to>
    <xdr:graphicFrame macro="">
      <xdr:nvGraphicFramePr>
        <xdr:cNvPr id="28" name="Chart 27">
          <a:extLst>
            <a:ext uri="{FF2B5EF4-FFF2-40B4-BE49-F238E27FC236}">
              <a16:creationId xmlns:a16="http://schemas.microsoft.com/office/drawing/2014/main" id="{0F4F0F8F-C6A6-4630-A3CF-772087DAB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154212</xdr:colOff>
      <xdr:row>12</xdr:row>
      <xdr:rowOff>136070</xdr:rowOff>
    </xdr:from>
    <xdr:to>
      <xdr:col>18</xdr:col>
      <xdr:colOff>789212</xdr:colOff>
      <xdr:row>24</xdr:row>
      <xdr:rowOff>0</xdr:rowOff>
    </xdr:to>
    <xdr:graphicFrame macro="">
      <xdr:nvGraphicFramePr>
        <xdr:cNvPr id="29" name="Chart 28">
          <a:extLst>
            <a:ext uri="{FF2B5EF4-FFF2-40B4-BE49-F238E27FC236}">
              <a16:creationId xmlns:a16="http://schemas.microsoft.com/office/drawing/2014/main" id="{0E15E777-1798-4ED6-AB43-B6CAA9319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8.384551041665" createdVersion="7" refreshedVersion="7" minRefreshableVersion="3" recordCount="8" xr:uid="{878691A3-8612-4B63-9AF9-66C449CA2AAE}">
  <cacheSource type="worksheet">
    <worksheetSource name="Table1"/>
  </cacheSource>
  <cacheFields count="9">
    <cacheField name="Staff ID" numFmtId="0">
      <sharedItems/>
    </cacheField>
    <cacheField name="Employee" numFmtId="0">
      <sharedItems count="8">
        <s v="Jeremiah"/>
        <s v="Ada"/>
        <s v="Tunde"/>
        <s v="Chika"/>
        <s v="Kemi"/>
        <s v="James"/>
        <s v="Ruth"/>
        <s v="David"/>
      </sharedItems>
    </cacheField>
    <cacheField name="Department" numFmtId="0">
      <sharedItems count="5">
        <s v="HR"/>
        <s v="Finance"/>
        <s v="Sales"/>
        <s v="Operations"/>
        <s v="Marketing"/>
      </sharedItems>
    </cacheField>
    <cacheField name="Salary" numFmtId="3">
      <sharedItems containsSemiMixedTypes="0" containsString="0" containsNumber="1" containsInteger="1" minValue="180000" maxValue="400000"/>
    </cacheField>
    <cacheField name="KPI Score" numFmtId="0">
      <sharedItems containsSemiMixedTypes="0" containsString="0" containsNumber="1" containsInteger="1" minValue="45" maxValue="100"/>
    </cacheField>
    <cacheField name="Attendance %" numFmtId="0">
      <sharedItems containsSemiMixedTypes="0" containsString="0" containsNumber="1" containsInteger="1" minValue="72" maxValue="99"/>
    </cacheField>
    <cacheField name="HMO Status" numFmtId="0">
      <sharedItems count="2">
        <s v="Active"/>
        <s v="Pending"/>
      </sharedItems>
    </cacheField>
    <cacheField name="Performance" numFmtId="0">
      <sharedItems/>
    </cacheField>
    <cacheField name="Performance Indicators"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2074425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EMP001"/>
    <x v="0"/>
    <x v="0"/>
    <n v="250000"/>
    <n v="95"/>
    <n v="98"/>
    <x v="0"/>
    <s v="Excellent"/>
    <n v="3"/>
  </r>
  <r>
    <s v="EMP002"/>
    <x v="1"/>
    <x v="1"/>
    <n v="320000"/>
    <n v="82"/>
    <n v="96"/>
    <x v="0"/>
    <s v="Good"/>
    <n v="2"/>
  </r>
  <r>
    <s v="EMP003"/>
    <x v="2"/>
    <x v="2"/>
    <n v="210000"/>
    <n v="60"/>
    <n v="88"/>
    <x v="1"/>
    <s v="Needs Improvement"/>
    <n v="1"/>
  </r>
  <r>
    <s v="EMP004"/>
    <x v="3"/>
    <x v="3"/>
    <n v="280000"/>
    <n v="45"/>
    <n v="72"/>
    <x v="0"/>
    <s v="Needs Improvement"/>
    <n v="1"/>
  </r>
  <r>
    <s v="EMP005"/>
    <x v="4"/>
    <x v="4"/>
    <n v="240000"/>
    <n v="78"/>
    <n v="90"/>
    <x v="1"/>
    <s v="Good"/>
    <n v="2"/>
  </r>
  <r>
    <s v="EMP006"/>
    <x v="5"/>
    <x v="0"/>
    <n v="350000"/>
    <n v="100"/>
    <n v="99"/>
    <x v="0"/>
    <s v="Excellent"/>
    <n v="3"/>
  </r>
  <r>
    <s v="EMP007"/>
    <x v="6"/>
    <x v="2"/>
    <n v="180000"/>
    <n v="52"/>
    <n v="81"/>
    <x v="0"/>
    <s v="Needs Improvement"/>
    <n v="1"/>
  </r>
  <r>
    <s v="EMP008"/>
    <x v="7"/>
    <x v="1"/>
    <n v="400000"/>
    <n v="89"/>
    <n v="97"/>
    <x v="0"/>
    <s v="Good"/>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F1FFD-4DF7-46DE-8AAA-8856660637DF}"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O4:P10" firstHeaderRow="1" firstDataRow="1" firstDataCol="1"/>
  <pivotFields count="9">
    <pivotField showAll="0"/>
    <pivotField showAll="0"/>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numFmtId="3" showAll="0"/>
    <pivotField dataField="1" showAll="0"/>
    <pivotField showAll="0"/>
    <pivotField showAll="0">
      <items count="3">
        <item x="0"/>
        <item x="1"/>
        <item t="default"/>
      </items>
    </pivotField>
    <pivotField showAll="0"/>
    <pivotField showAll="0"/>
  </pivotFields>
  <rowFields count="1">
    <field x="2"/>
  </rowFields>
  <rowItems count="6">
    <i>
      <x v="1"/>
    </i>
    <i>
      <x/>
    </i>
    <i>
      <x v="4"/>
    </i>
    <i>
      <x v="2"/>
    </i>
    <i>
      <x v="3"/>
    </i>
    <i t="grand">
      <x/>
    </i>
  </rowItems>
  <colItems count="1">
    <i/>
  </colItems>
  <dataFields count="1">
    <dataField name="Sum of KPI Score" fld="4" baseField="0" baseItem="0"/>
  </dataFields>
  <formats count="4">
    <format dxfId="11">
      <pivotArea grandRow="1" outline="0" collapsedLevelsAreSubtotals="1" fieldPosition="0"/>
    </format>
    <format dxfId="10">
      <pivotArea dataOnly="0" labelOnly="1" grandRow="1" outline="0" fieldPosition="0"/>
    </format>
    <format dxfId="9">
      <pivotArea field="2" type="button" dataOnly="0" labelOnly="1" outline="0" axis="axisRow" fieldPosition="0"/>
    </format>
    <format dxfId="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19D98A-CB6A-4ED9-BFA6-EB76C01C7999}"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D4:E10" firstHeaderRow="1" firstDataRow="1" firstDataCol="1"/>
  <pivotFields count="9">
    <pivotField showAll="0"/>
    <pivotField showAll="0">
      <items count="9">
        <item x="1"/>
        <item x="3"/>
        <item x="7"/>
        <item x="5"/>
        <item x="0"/>
        <item x="4"/>
        <item x="6"/>
        <item x="2"/>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dataField="1" numFmtId="3" showAll="0"/>
    <pivotField showAll="0"/>
    <pivotField showAll="0"/>
    <pivotField showAll="0">
      <items count="3">
        <item x="0"/>
        <item x="1"/>
        <item t="default"/>
      </items>
    </pivotField>
    <pivotField showAll="0"/>
    <pivotField showAll="0"/>
  </pivotFields>
  <rowFields count="1">
    <field x="2"/>
  </rowFields>
  <rowItems count="6">
    <i>
      <x/>
    </i>
    <i>
      <x v="1"/>
    </i>
    <i>
      <x v="4"/>
    </i>
    <i>
      <x v="3"/>
    </i>
    <i>
      <x v="2"/>
    </i>
    <i t="grand">
      <x/>
    </i>
  </rowItems>
  <colItems count="1">
    <i/>
  </colItems>
  <dataFields count="1">
    <dataField name="Sum of Salary" fld="3" baseField="0" baseItem="0" numFmtId="3"/>
  </dataFields>
  <formats count="5">
    <format dxfId="16">
      <pivotArea outline="0" collapsedLevelsAreSubtotals="1" fieldPosition="0"/>
    </format>
    <format dxfId="15">
      <pivotArea field="2"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C08C3-1270-4E32-9773-6F2E94DFE292}" name="PivotTable6"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G4:H10" firstHeaderRow="1" firstDataRow="1" firstDataCol="1"/>
  <pivotFields count="9">
    <pivotField showAll="0"/>
    <pivotField showAll="0"/>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numFmtId="3" showAll="0"/>
    <pivotField showAll="0"/>
    <pivotField dataField="1" showAll="0"/>
    <pivotField showAll="0">
      <items count="3">
        <item x="0"/>
        <item x="1"/>
        <item t="default"/>
      </items>
    </pivotField>
    <pivotField showAll="0"/>
    <pivotField showAll="0"/>
  </pivotFields>
  <rowFields count="1">
    <field x="2"/>
  </rowFields>
  <rowItems count="6">
    <i>
      <x v="1"/>
    </i>
    <i>
      <x/>
    </i>
    <i>
      <x v="4"/>
    </i>
    <i>
      <x v="2"/>
    </i>
    <i>
      <x v="3"/>
    </i>
    <i t="grand">
      <x/>
    </i>
  </rowItems>
  <colItems count="1">
    <i/>
  </colItems>
  <dataFields count="1">
    <dataField name="Sum of Attendance %" fld="5" baseField="0" baseItem="0"/>
  </dataFields>
  <formats count="4">
    <format dxfId="20">
      <pivotArea field="2" type="button" dataOnly="0" labelOnly="1" outline="0" axis="axisRow" fieldPosition="0"/>
    </format>
    <format dxfId="19">
      <pivotArea dataOnly="0" labelOnly="1" grandRow="1" outline="0" fieldPosition="0"/>
    </format>
    <format dxfId="18">
      <pivotArea dataOnly="0" labelOnly="1" outline="0" axis="axisValues" fieldPosition="0"/>
    </format>
    <format dxfId="17">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ACC6F7-D23C-43D0-9650-2A5C79FA81CA}" name="PivotTable5"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A4:B10" firstHeaderRow="1" firstDataRow="1" firstDataCol="1"/>
  <pivotFields count="9">
    <pivotField showAll="0"/>
    <pivotField dataField="1" showAll="0">
      <items count="9">
        <item x="1"/>
        <item x="3"/>
        <item x="7"/>
        <item x="5"/>
        <item x="0"/>
        <item x="4"/>
        <item x="6"/>
        <item x="2"/>
        <item t="default"/>
      </items>
    </pivotField>
    <pivotField axis="axisRow" showAll="0" sortType="descending">
      <items count="6">
        <item x="1"/>
        <item x="0"/>
        <item x="4"/>
        <item x="3"/>
        <item x="2"/>
        <item t="default"/>
      </items>
      <autoSortScope>
        <pivotArea dataOnly="0" outline="0" fieldPosition="0">
          <references count="1">
            <reference field="4294967294" count="1" selected="0">
              <x v="0"/>
            </reference>
          </references>
        </pivotArea>
      </autoSortScope>
    </pivotField>
    <pivotField numFmtId="3" showAll="0"/>
    <pivotField showAll="0"/>
    <pivotField showAll="0"/>
    <pivotField showAll="0">
      <items count="3">
        <item x="0"/>
        <item x="1"/>
        <item t="default"/>
      </items>
    </pivotField>
    <pivotField showAll="0"/>
    <pivotField showAll="0"/>
  </pivotFields>
  <rowFields count="1">
    <field x="2"/>
  </rowFields>
  <rowItems count="6">
    <i>
      <x v="4"/>
    </i>
    <i>
      <x/>
    </i>
    <i>
      <x v="1"/>
    </i>
    <i>
      <x v="3"/>
    </i>
    <i>
      <x v="2"/>
    </i>
    <i t="grand">
      <x/>
    </i>
  </rowItems>
  <colItems count="1">
    <i/>
  </colItems>
  <dataFields count="1">
    <dataField name="Count of Employee" fld="1" subtotal="count" baseField="0" baseItem="0"/>
  </dataFields>
  <formats count="4">
    <format dxfId="24">
      <pivotArea outline="0" collapsedLevelsAreSubtotals="1" fieldPosition="0"/>
    </format>
    <format dxfId="23">
      <pivotArea field="2" type="button" dataOnly="0" labelOnly="1" outline="0" axis="axisRow" fieldPosition="0"/>
    </format>
    <format dxfId="22">
      <pivotArea dataOnly="0" labelOnly="1" outline="0" axis="axisValues" fieldPosition="0"/>
    </format>
    <format dxfId="21">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018FB1-1A12-4ACE-ADC0-0A7CABFC2EBE}" name="PivotTable4"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colHeaderCaption="HMO Status">
  <location ref="J3:M10" firstHeaderRow="1" firstDataRow="2" firstDataCol="1"/>
  <pivotFields count="9">
    <pivotField showAll="0"/>
    <pivotField dataField="1" showAll="0"/>
    <pivotField axis="axisRow" showAll="0">
      <items count="6">
        <item x="1"/>
        <item x="0"/>
        <item x="4"/>
        <item x="3"/>
        <item x="2"/>
        <item t="default"/>
      </items>
    </pivotField>
    <pivotField numFmtId="3" showAll="0"/>
    <pivotField showAll="0"/>
    <pivotField showAll="0"/>
    <pivotField axis="axisCol" showAll="0">
      <items count="3">
        <item x="0"/>
        <item x="1"/>
        <item t="default"/>
      </items>
    </pivotField>
    <pivotField showAll="0"/>
    <pivotField showAll="0"/>
  </pivotFields>
  <rowFields count="1">
    <field x="2"/>
  </rowFields>
  <rowItems count="6">
    <i>
      <x/>
    </i>
    <i>
      <x v="1"/>
    </i>
    <i>
      <x v="2"/>
    </i>
    <i>
      <x v="3"/>
    </i>
    <i>
      <x v="4"/>
    </i>
    <i t="grand">
      <x/>
    </i>
  </rowItems>
  <colFields count="1">
    <field x="6"/>
  </colFields>
  <colItems count="3">
    <i>
      <x/>
    </i>
    <i>
      <x v="1"/>
    </i>
    <i t="grand">
      <x/>
    </i>
  </colItems>
  <dataFields count="1">
    <dataField name="Count of Employee" fld="1" subtotal="count" baseField="0" baseItem="0"/>
  </dataFields>
  <formats count="12">
    <format dxfId="36">
      <pivotArea grandRow="1" outline="0" collapsedLevelsAreSubtotals="1" fieldPosition="0"/>
    </format>
    <format dxfId="35">
      <pivotArea dataOnly="0" labelOnly="1" grandRow="1" outline="0" fieldPosition="0"/>
    </format>
    <format dxfId="34">
      <pivotArea grandRow="1" outline="0" collapsedLevelsAreSubtotals="1" fieldPosition="0"/>
    </format>
    <format dxfId="33">
      <pivotArea dataOnly="0" labelOnly="1" grandRow="1" outline="0" fieldPosition="0"/>
    </format>
    <format dxfId="32">
      <pivotArea type="origin" dataOnly="0" labelOnly="1" outline="0" fieldPosition="0"/>
    </format>
    <format dxfId="31">
      <pivotArea field="6" type="button" dataOnly="0" labelOnly="1" outline="0" axis="axisCol" fieldPosition="0"/>
    </format>
    <format dxfId="30">
      <pivotArea type="topRight" dataOnly="0" labelOnly="1" outline="0" fieldPosition="0"/>
    </format>
    <format dxfId="29">
      <pivotArea field="2" type="button" dataOnly="0" labelOnly="1" outline="0" axis="axisRow" fieldPosition="0"/>
    </format>
    <format dxfId="28">
      <pivotArea dataOnly="0" labelOnly="1" fieldPosition="0">
        <references count="1">
          <reference field="6" count="0"/>
        </references>
      </pivotArea>
    </format>
    <format dxfId="27">
      <pivotArea dataOnly="0" labelOnly="1" grandCol="1" outline="0" fieldPosition="0"/>
    </format>
    <format dxfId="26">
      <pivotArea collapsedLevelsAreSubtotals="1" fieldPosition="0">
        <references count="1">
          <reference field="2" count="0"/>
        </references>
      </pivotArea>
    </format>
    <format dxfId="25">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93B4AC-37C6-4470-B987-DA4F44A911E3}" sourceName="Department">
  <pivotTables>
    <pivotTable tabId="4" name="PivotTable2"/>
    <pivotTable tabId="4" name="PivotTable3"/>
    <pivotTable tabId="4" name="PivotTable4"/>
    <pivotTable tabId="4" name="PivotTable5"/>
    <pivotTable tabId="4" name="PivotTable6"/>
  </pivotTables>
  <data>
    <tabular pivotCacheId="2074425025">
      <items count="5">
        <i x="1" s="1"/>
        <i x="0"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MO_Status" xr10:uid="{CF6B4EBD-CEDB-485B-92E7-F7F59D3C0C02}" sourceName="HMO Status">
  <pivotTables>
    <pivotTable tabId="4" name="PivotTable2"/>
    <pivotTable tabId="4" name="PivotTable3"/>
    <pivotTable tabId="4" name="PivotTable4"/>
    <pivotTable tabId="4" name="PivotTable5"/>
    <pivotTable tabId="4" name="PivotTable6"/>
  </pivotTables>
  <data>
    <tabular pivotCacheId="20744250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A844162-4C26-4376-8787-A91358215DE9}" cache="Slicer_Department" caption="Department" columnCount="5" style="SlicerStyleLight2" rowHeight="241300"/>
  <slicer name="HMO Status" xr10:uid="{44015075-2C18-4011-9087-46B01BBA81D2}" cache="Slicer_HMO_Status" caption="HMO Status"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F74975-BD13-41D8-A8CC-7503F671DB9F}" name="Table1" displayName="Table1" ref="A1:I9" totalsRowShown="0" headerRowDxfId="47" dataDxfId="46">
  <autoFilter ref="A1:I9" xr:uid="{10F74975-BD13-41D8-A8CC-7503F671DB9F}"/>
  <tableColumns count="9">
    <tableColumn id="1" xr3:uid="{0151539C-88F6-4BB4-824B-32D5199D9187}" name="Staff ID" dataDxfId="45"/>
    <tableColumn id="2" xr3:uid="{B2448C14-B2D9-4B23-8A57-6936E3BFCE7B}" name="Employee" dataDxfId="44"/>
    <tableColumn id="3" xr3:uid="{EBFB7E1A-5021-4719-B4B4-B354A3B1ECF9}" name="Department" dataDxfId="43"/>
    <tableColumn id="4" xr3:uid="{4E89B1B9-F0D7-4701-AC66-C737F61E282C}" name="Salary" dataDxfId="42"/>
    <tableColumn id="5" xr3:uid="{FBEC569E-81F5-4B70-819A-42F9F38B5441}" name="KPI Score" dataDxfId="41"/>
    <tableColumn id="6" xr3:uid="{9FA997D5-36EA-4176-BD07-017E4E1B91A5}" name="Attendance %" dataDxfId="40"/>
    <tableColumn id="7" xr3:uid="{169BE007-9188-4393-9558-90A026731ECA}" name="HMO Status" dataDxfId="39"/>
    <tableColumn id="8" xr3:uid="{56DC14E4-CA33-401E-BA75-756923FD60A6}" name="Performance" dataDxfId="38">
      <calculatedColumnFormula array="1">_xlfn.IFS(Table1[[#This Row],[KPI Score]]&gt;=90,"Excellent",Table1[[#This Row],[KPI Score]]&gt;=70,"Good",Table1[[#This Row],[KPI Score]]&lt;70,"Needs Improvement")</calculatedColumnFormula>
    </tableColumn>
    <tableColumn id="9" xr3:uid="{3AD69820-E087-48ED-B2A7-28BC1C067BE1}" name="Performance Indicators" dataDxfId="37">
      <calculatedColumnFormula array="1">_xlfn.IFS(Table1[[#This Row],[KPI Score]]&gt;=90,3,Table1[[#This Row],[KPI Score]]&gt;=70,2,Table1[[#This Row],[KPI Score]]&lt;70,1)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workbookViewId="0">
      <selection activeCell="E4" sqref="E4"/>
    </sheetView>
  </sheetViews>
  <sheetFormatPr defaultRowHeight="14.5" x14ac:dyDescent="0.35"/>
  <cols>
    <col min="1" max="1" width="11.90625" style="4" customWidth="1"/>
    <col min="2" max="2" width="13.36328125" style="4" customWidth="1"/>
    <col min="3" max="3" width="13.08984375" style="4" customWidth="1"/>
    <col min="4" max="4" width="9.81640625" style="7" bestFit="1" customWidth="1"/>
    <col min="5" max="5" width="13.453125" style="4" customWidth="1"/>
    <col min="6" max="6" width="18.08984375" style="4" customWidth="1"/>
    <col min="7" max="7" width="15.54296875" style="4" customWidth="1"/>
    <col min="8" max="8" width="22.81640625" style="4" customWidth="1"/>
    <col min="9" max="9" width="22.90625" style="4" bestFit="1" customWidth="1"/>
    <col min="10" max="16384" width="8.7265625" style="4"/>
  </cols>
  <sheetData>
    <row r="1" spans="1:9" x14ac:dyDescent="0.35">
      <c r="A1" s="2" t="s">
        <v>0</v>
      </c>
      <c r="B1" s="2" t="s">
        <v>1</v>
      </c>
      <c r="C1" s="2" t="s">
        <v>2</v>
      </c>
      <c r="D1" s="3" t="s">
        <v>3</v>
      </c>
      <c r="E1" s="2" t="s">
        <v>4</v>
      </c>
      <c r="F1" s="2" t="s">
        <v>5</v>
      </c>
      <c r="G1" s="2" t="s">
        <v>6</v>
      </c>
      <c r="H1" s="4" t="s">
        <v>30</v>
      </c>
      <c r="I1" s="4" t="s">
        <v>31</v>
      </c>
    </row>
    <row r="2" spans="1:9" x14ac:dyDescent="0.35">
      <c r="A2" s="5" t="s">
        <v>7</v>
      </c>
      <c r="B2" s="5" t="s">
        <v>8</v>
      </c>
      <c r="C2" s="5" t="s">
        <v>9</v>
      </c>
      <c r="D2" s="6">
        <v>250000</v>
      </c>
      <c r="E2" s="5">
        <v>95</v>
      </c>
      <c r="F2" s="5">
        <v>98</v>
      </c>
      <c r="G2" s="5" t="s">
        <v>10</v>
      </c>
      <c r="H2" s="8" t="str" cm="1">
        <f t="array" ref="H2">_xlfn.IFS(Table1[[#This Row],[KPI Score]]&gt;=90,"Excellent",Table1[[#This Row],[KPI Score]]&gt;=70,"Good",Table1[[#This Row],[KPI Score]]&lt;70,"Needs Improvement")</f>
        <v>Excellent</v>
      </c>
      <c r="I2" s="5" cm="1">
        <f t="array" ref="I2">_xlfn.IFS(Table1[[#This Row],[KPI Score]]&gt;=90,3,Table1[[#This Row],[KPI Score]]&gt;=70,2,Table1[[#This Row],[KPI Score]]&lt;70,1)</f>
        <v>3</v>
      </c>
    </row>
    <row r="3" spans="1:9" x14ac:dyDescent="0.35">
      <c r="A3" s="5" t="s">
        <v>11</v>
      </c>
      <c r="B3" s="5" t="s">
        <v>12</v>
      </c>
      <c r="C3" s="5" t="s">
        <v>13</v>
      </c>
      <c r="D3" s="6">
        <v>320000</v>
      </c>
      <c r="E3" s="5">
        <v>82</v>
      </c>
      <c r="F3" s="5">
        <v>96</v>
      </c>
      <c r="G3" s="5" t="s">
        <v>10</v>
      </c>
      <c r="H3" s="8" t="str" cm="1">
        <f t="array" ref="H3">_xlfn.IFS(Table1[[#This Row],[KPI Score]]&gt;=90,"Excellent",Table1[[#This Row],[KPI Score]]&gt;=70,"Good",Table1[[#This Row],[KPI Score]]&lt;70,"Needs Improvement")</f>
        <v>Good</v>
      </c>
      <c r="I3" s="5" cm="1">
        <f t="array" ref="I3">_xlfn.IFS(Table1[[#This Row],[KPI Score]]&gt;=90,3,Table1[[#This Row],[KPI Score]]&gt;=70,2,Table1[[#This Row],[KPI Score]]&lt;70,1)</f>
        <v>2</v>
      </c>
    </row>
    <row r="4" spans="1:9" x14ac:dyDescent="0.35">
      <c r="A4" s="5" t="s">
        <v>14</v>
      </c>
      <c r="B4" s="5" t="s">
        <v>15</v>
      </c>
      <c r="C4" s="5" t="s">
        <v>16</v>
      </c>
      <c r="D4" s="6">
        <v>210000</v>
      </c>
      <c r="E4" s="5">
        <v>60</v>
      </c>
      <c r="F4" s="5">
        <v>88</v>
      </c>
      <c r="G4" s="5" t="s">
        <v>17</v>
      </c>
      <c r="H4" s="8" t="str" cm="1">
        <f t="array" ref="H4">_xlfn.IFS(Table1[[#This Row],[KPI Score]]&gt;=90,"Excellent",Table1[[#This Row],[KPI Score]]&gt;=70,"Good",Table1[[#This Row],[KPI Score]]&lt;70,"Needs Improvement")</f>
        <v>Needs Improvement</v>
      </c>
      <c r="I4" s="5" cm="1">
        <f t="array" ref="I4">_xlfn.IFS(Table1[[#This Row],[KPI Score]]&gt;=90,3,Table1[[#This Row],[KPI Score]]&gt;=70,2,Table1[[#This Row],[KPI Score]]&lt;70,1)</f>
        <v>1</v>
      </c>
    </row>
    <row r="5" spans="1:9" x14ac:dyDescent="0.35">
      <c r="A5" s="5" t="s">
        <v>18</v>
      </c>
      <c r="B5" s="5" t="s">
        <v>19</v>
      </c>
      <c r="C5" s="5" t="s">
        <v>20</v>
      </c>
      <c r="D5" s="6">
        <v>280000</v>
      </c>
      <c r="E5" s="5">
        <v>45</v>
      </c>
      <c r="F5" s="5">
        <v>72</v>
      </c>
      <c r="G5" s="5" t="s">
        <v>10</v>
      </c>
      <c r="H5" s="8" t="str" cm="1">
        <f t="array" ref="H5">_xlfn.IFS(Table1[[#This Row],[KPI Score]]&gt;=90,"Excellent",Table1[[#This Row],[KPI Score]]&gt;=70,"Good",Table1[[#This Row],[KPI Score]]&lt;70,"Needs Improvement")</f>
        <v>Needs Improvement</v>
      </c>
      <c r="I5" s="5" cm="1">
        <f t="array" ref="I5">_xlfn.IFS(Table1[[#This Row],[KPI Score]]&gt;=90,3,Table1[[#This Row],[KPI Score]]&gt;=70,2,Table1[[#This Row],[KPI Score]]&lt;70,1)</f>
        <v>1</v>
      </c>
    </row>
    <row r="6" spans="1:9" x14ac:dyDescent="0.35">
      <c r="A6" s="5" t="s">
        <v>21</v>
      </c>
      <c r="B6" s="5" t="s">
        <v>22</v>
      </c>
      <c r="C6" s="5" t="s">
        <v>23</v>
      </c>
      <c r="D6" s="6">
        <v>240000</v>
      </c>
      <c r="E6" s="5">
        <v>78</v>
      </c>
      <c r="F6" s="5">
        <v>90</v>
      </c>
      <c r="G6" s="5" t="s">
        <v>17</v>
      </c>
      <c r="H6" s="8" t="str" cm="1">
        <f t="array" ref="H6">_xlfn.IFS(Table1[[#This Row],[KPI Score]]&gt;=90,"Excellent",Table1[[#This Row],[KPI Score]]&gt;=70,"Good",Table1[[#This Row],[KPI Score]]&lt;70,"Needs Improvement")</f>
        <v>Good</v>
      </c>
      <c r="I6" s="5" cm="1">
        <f t="array" ref="I6">_xlfn.IFS(Table1[[#This Row],[KPI Score]]&gt;=90,3,Table1[[#This Row],[KPI Score]]&gt;=70,2,Table1[[#This Row],[KPI Score]]&lt;70,1)</f>
        <v>2</v>
      </c>
    </row>
    <row r="7" spans="1:9" x14ac:dyDescent="0.35">
      <c r="A7" s="5" t="s">
        <v>24</v>
      </c>
      <c r="B7" s="5" t="s">
        <v>25</v>
      </c>
      <c r="C7" s="5" t="s">
        <v>9</v>
      </c>
      <c r="D7" s="6">
        <v>350000</v>
      </c>
      <c r="E7" s="5">
        <v>100</v>
      </c>
      <c r="F7" s="5">
        <v>99</v>
      </c>
      <c r="G7" s="5" t="s">
        <v>10</v>
      </c>
      <c r="H7" s="8" t="str" cm="1">
        <f t="array" ref="H7">_xlfn.IFS(Table1[[#This Row],[KPI Score]]&gt;=90,"Excellent",Table1[[#This Row],[KPI Score]]&gt;=70,"Good",Table1[[#This Row],[KPI Score]]&lt;70,"Needs Improvement")</f>
        <v>Excellent</v>
      </c>
      <c r="I7" s="5" cm="1">
        <f t="array" ref="I7">_xlfn.IFS(Table1[[#This Row],[KPI Score]]&gt;=90,3,Table1[[#This Row],[KPI Score]]&gt;=70,2,Table1[[#This Row],[KPI Score]]&lt;70,1)</f>
        <v>3</v>
      </c>
    </row>
    <row r="8" spans="1:9" x14ac:dyDescent="0.35">
      <c r="A8" s="5" t="s">
        <v>26</v>
      </c>
      <c r="B8" s="5" t="s">
        <v>27</v>
      </c>
      <c r="C8" s="5" t="s">
        <v>16</v>
      </c>
      <c r="D8" s="6">
        <v>180000</v>
      </c>
      <c r="E8" s="5">
        <v>52</v>
      </c>
      <c r="F8" s="5">
        <v>81</v>
      </c>
      <c r="G8" s="5" t="s">
        <v>10</v>
      </c>
      <c r="H8" s="8" t="str" cm="1">
        <f t="array" ref="H8">_xlfn.IFS(Table1[[#This Row],[KPI Score]]&gt;=90,"Excellent",Table1[[#This Row],[KPI Score]]&gt;=70,"Good",Table1[[#This Row],[KPI Score]]&lt;70,"Needs Improvement")</f>
        <v>Needs Improvement</v>
      </c>
      <c r="I8" s="5" cm="1">
        <f t="array" ref="I8">_xlfn.IFS(Table1[[#This Row],[KPI Score]]&gt;=90,3,Table1[[#This Row],[KPI Score]]&gt;=70,2,Table1[[#This Row],[KPI Score]]&lt;70,1)</f>
        <v>1</v>
      </c>
    </row>
    <row r="9" spans="1:9" x14ac:dyDescent="0.35">
      <c r="A9" s="5" t="s">
        <v>28</v>
      </c>
      <c r="B9" s="5" t="s">
        <v>29</v>
      </c>
      <c r="C9" s="5" t="s">
        <v>13</v>
      </c>
      <c r="D9" s="6">
        <v>400000</v>
      </c>
      <c r="E9" s="5">
        <v>89</v>
      </c>
      <c r="F9" s="5">
        <v>97</v>
      </c>
      <c r="G9" s="5" t="s">
        <v>10</v>
      </c>
      <c r="H9" s="8" t="str" cm="1">
        <f t="array" ref="H9">_xlfn.IFS(Table1[[#This Row],[KPI Score]]&gt;=90,"Excellent",Table1[[#This Row],[KPI Score]]&gt;=70,"Good",Table1[[#This Row],[KPI Score]]&lt;70,"Needs Improvement")</f>
        <v>Good</v>
      </c>
      <c r="I9" s="5" cm="1">
        <f t="array" ref="I9">_xlfn.IFS(Table1[[#This Row],[KPI Score]]&gt;=90,3,Table1[[#This Row],[KPI Score]]&gt;=70,2,Table1[[#This Row],[KPI Score]]&lt;70,1)</f>
        <v>2</v>
      </c>
    </row>
    <row r="12" spans="1:9" x14ac:dyDescent="0.35">
      <c r="F12" s="4" t="s">
        <v>49</v>
      </c>
    </row>
  </sheetData>
  <conditionalFormatting sqref="E1:E1048576">
    <cfRule type="cellIs" dxfId="53" priority="13" operator="between">
      <formula>70</formula>
      <formula>89</formula>
    </cfRule>
    <cfRule type="cellIs" dxfId="52" priority="14" operator="between">
      <formula>90</formula>
      <formula>100</formula>
    </cfRule>
  </conditionalFormatting>
  <conditionalFormatting sqref="E2:E9">
    <cfRule type="cellIs" dxfId="51" priority="11" operator="lessThan">
      <formula>70</formula>
    </cfRule>
    <cfRule type="cellIs" dxfId="50" priority="12" operator="lessThan">
      <formula>70</formula>
    </cfRule>
  </conditionalFormatting>
  <conditionalFormatting sqref="G2:G9">
    <cfRule type="containsText" dxfId="49" priority="7" operator="containsText" text="Pending">
      <formula>NOT(ISERROR(SEARCH("Pending",G2)))</formula>
    </cfRule>
    <cfRule type="containsText" dxfId="48" priority="8" operator="containsText" text="Active">
      <formula>NOT(ISERROR(SEARCH("Active",G2)))</formula>
    </cfRule>
  </conditionalFormatting>
  <conditionalFormatting sqref="F2:F9">
    <cfRule type="dataBar" priority="21">
      <dataBar>
        <cfvo type="min"/>
        <cfvo type="max"/>
        <color rgb="FF63C384"/>
      </dataBar>
      <extLst>
        <ext xmlns:x14="http://schemas.microsoft.com/office/spreadsheetml/2009/9/main" uri="{B025F937-C7B1-47D3-B67F-A62EFF666E3E}">
          <x14:id>{FD6A825D-52B7-4FE7-970B-A0FF6140B119}</x14:id>
        </ext>
      </extLst>
    </cfRule>
  </conditionalFormatting>
  <conditionalFormatting sqref="D2:D9">
    <cfRule type="colorScale" priority="22">
      <colorScale>
        <cfvo type="min"/>
        <cfvo type="percentile" val="50"/>
        <cfvo type="max"/>
        <color rgb="FFF8696B"/>
        <color rgb="FFFFEB84"/>
        <color rgb="FF63BE7B"/>
      </colorScale>
    </cfRule>
  </conditionalFormatting>
  <conditionalFormatting sqref="H2:H9">
    <cfRule type="iconSet" priority="23">
      <iconSet showValue="0">
        <cfvo type="percent" val="0"/>
        <cfvo type="num" val="70"/>
        <cfvo type="num" val="90"/>
      </iconSet>
    </cfRule>
    <cfRule type="iconSet" priority="24">
      <iconSet>
        <cfvo type="percent" val="0"/>
        <cfvo type="percent" val="70"/>
        <cfvo type="percent" val="90"/>
      </iconSet>
    </cfRule>
    <cfRule type="iconSet" priority="25">
      <iconSet>
        <cfvo type="percent" val="0"/>
        <cfvo type="percent" val="33"/>
        <cfvo type="percent" val="67"/>
      </iconSet>
    </cfRule>
  </conditionalFormatting>
  <conditionalFormatting sqref="I2:I9">
    <cfRule type="iconSet" priority="26">
      <iconSet showValue="0">
        <cfvo type="percent" val="0"/>
        <cfvo type="num" val="2"/>
        <cfvo type="num" val="3"/>
      </iconSet>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FD6A825D-52B7-4FE7-970B-A0FF6140B119}">
            <x14:dataBar minLength="0" maxLength="100" gradient="0">
              <x14:cfvo type="autoMin"/>
              <x14:cfvo type="autoMax"/>
              <x14:negativeFillColor rgb="FFFF0000"/>
              <x14:axisColor rgb="FF000000"/>
            </x14:dataBar>
          </x14:cfRule>
          <xm:sqref>F2:F9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F9E14-D8AB-445B-91B6-A1F4EBBC7E68}">
  <dimension ref="A3:P10"/>
  <sheetViews>
    <sheetView zoomScale="85" zoomScaleNormal="85" workbookViewId="0">
      <selection activeCell="J18" sqref="J18"/>
    </sheetView>
  </sheetViews>
  <sheetFormatPr defaultRowHeight="14.5" x14ac:dyDescent="0.35"/>
  <cols>
    <col min="1" max="1" width="14" bestFit="1" customWidth="1"/>
    <col min="2" max="2" width="17" bestFit="1" customWidth="1"/>
    <col min="3" max="3" width="5.36328125" customWidth="1"/>
    <col min="4" max="4" width="14" bestFit="1" customWidth="1"/>
    <col min="5" max="5" width="12.26953125" bestFit="1" customWidth="1"/>
    <col min="6" max="6" width="4.7265625" customWidth="1"/>
    <col min="7" max="7" width="14" bestFit="1" customWidth="1"/>
    <col min="8" max="8" width="19.26953125" bestFit="1" customWidth="1"/>
    <col min="9" max="9" width="5.453125" customWidth="1"/>
    <col min="10" max="10" width="17" bestFit="1" customWidth="1"/>
    <col min="11" max="11" width="16.54296875" bestFit="1" customWidth="1"/>
    <col min="12" max="12" width="7.81640625" bestFit="1" customWidth="1"/>
    <col min="13" max="13" width="10.81640625" bestFit="1" customWidth="1"/>
    <col min="14" max="14" width="4.54296875" customWidth="1"/>
    <col min="15" max="15" width="13.1796875" bestFit="1" customWidth="1"/>
    <col min="16" max="16" width="15.08984375" bestFit="1" customWidth="1"/>
  </cols>
  <sheetData>
    <row r="3" spans="1:16" x14ac:dyDescent="0.35">
      <c r="J3" s="13" t="s">
        <v>46</v>
      </c>
      <c r="K3" s="13" t="s">
        <v>6</v>
      </c>
      <c r="L3" s="13"/>
      <c r="M3" s="13"/>
    </row>
    <row r="4" spans="1:16" x14ac:dyDescent="0.35">
      <c r="A4" s="10" t="s">
        <v>2</v>
      </c>
      <c r="B4" s="10" t="s">
        <v>46</v>
      </c>
      <c r="D4" s="10" t="s">
        <v>2</v>
      </c>
      <c r="E4" s="10" t="s">
        <v>45</v>
      </c>
      <c r="G4" s="10" t="s">
        <v>2</v>
      </c>
      <c r="H4" s="10" t="s">
        <v>50</v>
      </c>
      <c r="J4" s="13" t="s">
        <v>2</v>
      </c>
      <c r="K4" s="13" t="s">
        <v>10</v>
      </c>
      <c r="L4" s="13" t="s">
        <v>17</v>
      </c>
      <c r="M4" s="13" t="s">
        <v>44</v>
      </c>
      <c r="O4" s="10" t="s">
        <v>43</v>
      </c>
      <c r="P4" s="10" t="s">
        <v>48</v>
      </c>
    </row>
    <row r="5" spans="1:16" x14ac:dyDescent="0.35">
      <c r="A5" s="4" t="s">
        <v>16</v>
      </c>
      <c r="B5" s="1">
        <v>2</v>
      </c>
      <c r="D5" s="4" t="s">
        <v>13</v>
      </c>
      <c r="E5" s="1">
        <v>720000</v>
      </c>
      <c r="G5" s="4" t="s">
        <v>9</v>
      </c>
      <c r="H5" s="9">
        <v>197</v>
      </c>
      <c r="J5" s="4" t="s">
        <v>13</v>
      </c>
      <c r="K5" s="14">
        <v>2</v>
      </c>
      <c r="L5" s="14"/>
      <c r="M5" s="14">
        <v>2</v>
      </c>
      <c r="O5" s="4" t="s">
        <v>9</v>
      </c>
      <c r="P5" s="9">
        <v>195</v>
      </c>
    </row>
    <row r="6" spans="1:16" x14ac:dyDescent="0.35">
      <c r="A6" s="4" t="s">
        <v>13</v>
      </c>
      <c r="B6" s="1">
        <v>2</v>
      </c>
      <c r="D6" s="4" t="s">
        <v>9</v>
      </c>
      <c r="E6" s="1">
        <v>600000</v>
      </c>
      <c r="G6" s="4" t="s">
        <v>13</v>
      </c>
      <c r="H6" s="9">
        <v>193</v>
      </c>
      <c r="J6" s="4" t="s">
        <v>9</v>
      </c>
      <c r="K6" s="14">
        <v>2</v>
      </c>
      <c r="L6" s="14"/>
      <c r="M6" s="14">
        <v>2</v>
      </c>
      <c r="O6" s="4" t="s">
        <v>13</v>
      </c>
      <c r="P6" s="9">
        <v>171</v>
      </c>
    </row>
    <row r="7" spans="1:16" x14ac:dyDescent="0.35">
      <c r="A7" s="4" t="s">
        <v>9</v>
      </c>
      <c r="B7" s="1">
        <v>2</v>
      </c>
      <c r="D7" s="4" t="s">
        <v>16</v>
      </c>
      <c r="E7" s="1">
        <v>390000</v>
      </c>
      <c r="G7" s="4" t="s">
        <v>16</v>
      </c>
      <c r="H7" s="9">
        <v>169</v>
      </c>
      <c r="J7" s="4" t="s">
        <v>23</v>
      </c>
      <c r="K7" s="14"/>
      <c r="L7" s="14">
        <v>1</v>
      </c>
      <c r="M7" s="14">
        <v>1</v>
      </c>
      <c r="O7" s="4" t="s">
        <v>16</v>
      </c>
      <c r="P7" s="9">
        <v>112</v>
      </c>
    </row>
    <row r="8" spans="1:16" x14ac:dyDescent="0.35">
      <c r="A8" s="4" t="s">
        <v>20</v>
      </c>
      <c r="B8" s="1">
        <v>1</v>
      </c>
      <c r="D8" s="4" t="s">
        <v>20</v>
      </c>
      <c r="E8" s="1">
        <v>280000</v>
      </c>
      <c r="G8" s="4" t="s">
        <v>23</v>
      </c>
      <c r="H8" s="9">
        <v>90</v>
      </c>
      <c r="J8" s="4" t="s">
        <v>20</v>
      </c>
      <c r="K8" s="14">
        <v>1</v>
      </c>
      <c r="L8" s="14"/>
      <c r="M8" s="14">
        <v>1</v>
      </c>
      <c r="O8" s="4" t="s">
        <v>23</v>
      </c>
      <c r="P8" s="9">
        <v>78</v>
      </c>
    </row>
    <row r="9" spans="1:16" x14ac:dyDescent="0.35">
      <c r="A9" s="4" t="s">
        <v>23</v>
      </c>
      <c r="B9" s="1">
        <v>1</v>
      </c>
      <c r="D9" s="4" t="s">
        <v>23</v>
      </c>
      <c r="E9" s="1">
        <v>240000</v>
      </c>
      <c r="G9" s="4" t="s">
        <v>20</v>
      </c>
      <c r="H9" s="9">
        <v>72</v>
      </c>
      <c r="J9" s="4" t="s">
        <v>16</v>
      </c>
      <c r="K9" s="14">
        <v>1</v>
      </c>
      <c r="L9" s="14">
        <v>1</v>
      </c>
      <c r="M9" s="14">
        <v>2</v>
      </c>
      <c r="O9" s="4" t="s">
        <v>20</v>
      </c>
      <c r="P9" s="9">
        <v>45</v>
      </c>
    </row>
    <row r="10" spans="1:16" x14ac:dyDescent="0.35">
      <c r="A10" s="11" t="s">
        <v>44</v>
      </c>
      <c r="B10" s="12">
        <v>8</v>
      </c>
      <c r="D10" s="11" t="s">
        <v>44</v>
      </c>
      <c r="E10" s="12">
        <v>2230000</v>
      </c>
      <c r="G10" s="11" t="s">
        <v>44</v>
      </c>
      <c r="H10" s="12">
        <v>721</v>
      </c>
      <c r="J10" s="13" t="s">
        <v>44</v>
      </c>
      <c r="K10" s="16">
        <v>6</v>
      </c>
      <c r="L10" s="16">
        <v>2</v>
      </c>
      <c r="M10" s="16">
        <v>8</v>
      </c>
      <c r="O10" s="11" t="s">
        <v>44</v>
      </c>
      <c r="P10" s="15">
        <v>601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ACD72-0740-4CFA-A7EB-0678246AF0A0}">
  <dimension ref="A34:G38"/>
  <sheetViews>
    <sheetView showGridLines="0" tabSelected="1" zoomScale="70" zoomScaleNormal="70" workbookViewId="0">
      <selection activeCell="O29" sqref="O29"/>
    </sheetView>
  </sheetViews>
  <sheetFormatPr defaultRowHeight="14.5" x14ac:dyDescent="0.35"/>
  <cols>
    <col min="1" max="1" width="14" bestFit="1" customWidth="1"/>
    <col min="2" max="2" width="17.453125" bestFit="1" customWidth="1"/>
    <col min="3" max="3" width="5.1796875" customWidth="1"/>
    <col min="4" max="4" width="14" bestFit="1" customWidth="1"/>
    <col min="5" max="5" width="12.6328125" bestFit="1" customWidth="1"/>
    <col min="6" max="6" width="7.36328125" customWidth="1"/>
    <col min="7" max="7" width="14" bestFit="1" customWidth="1"/>
    <col min="8" max="8" width="19.54296875" bestFit="1" customWidth="1"/>
    <col min="9" max="9" width="7.36328125" customWidth="1"/>
    <col min="10" max="10" width="17.453125" bestFit="1" customWidth="1"/>
    <col min="11" max="11" width="16.7265625" bestFit="1" customWidth="1"/>
    <col min="12" max="12" width="7.90625" bestFit="1" customWidth="1"/>
    <col min="13" max="13" width="10.90625" bestFit="1" customWidth="1"/>
    <col min="14" max="14" width="4.7265625" customWidth="1"/>
    <col min="15" max="15" width="13.1796875" bestFit="1" customWidth="1"/>
    <col min="16" max="16" width="15.54296875" bestFit="1" customWidth="1"/>
    <col min="17" max="17" width="6.08984375" bestFit="1" customWidth="1"/>
    <col min="18" max="18" width="10.7265625" bestFit="1" customWidth="1"/>
    <col min="19" max="19" width="11.453125" customWidth="1"/>
    <col min="20" max="20" width="16.81640625" bestFit="1" customWidth="1"/>
  </cols>
  <sheetData>
    <row r="34" spans="1:7" x14ac:dyDescent="0.35">
      <c r="A34" t="s">
        <v>47</v>
      </c>
      <c r="B34">
        <f>COUNTA(HR_Data!A:A)-1</f>
        <v>8</v>
      </c>
      <c r="E34" t="s">
        <v>40</v>
      </c>
      <c r="G34">
        <f>AVERAGEA(HR_Data!F:F)</f>
        <v>72.099999999999994</v>
      </c>
    </row>
    <row r="36" spans="1:7" x14ac:dyDescent="0.35">
      <c r="E36" t="s">
        <v>41</v>
      </c>
      <c r="G36">
        <f>COUNTIF(HR_Data!G:G,"Active")</f>
        <v>6</v>
      </c>
    </row>
    <row r="38" spans="1:7" x14ac:dyDescent="0.35">
      <c r="A38" t="s">
        <v>39</v>
      </c>
      <c r="B38">
        <f>AVERAGEA(HR_Data!E:E)</f>
        <v>66.777777777777771</v>
      </c>
      <c r="E38" t="s">
        <v>42</v>
      </c>
      <c r="G38">
        <f>COUNTIF(HR_Data!G:G,"Pending")</f>
        <v>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B36FF-7B70-4913-BE3D-922C827D0511}">
  <dimension ref="A1:A14"/>
  <sheetViews>
    <sheetView workbookViewId="0">
      <selection activeCell="A15" sqref="A15"/>
    </sheetView>
  </sheetViews>
  <sheetFormatPr defaultRowHeight="14.5" x14ac:dyDescent="0.35"/>
  <sheetData>
    <row r="1" spans="1:1" x14ac:dyDescent="0.35">
      <c r="A1" t="s">
        <v>36</v>
      </c>
    </row>
    <row r="3" spans="1:1" x14ac:dyDescent="0.35">
      <c r="A3" t="s">
        <v>32</v>
      </c>
    </row>
    <row r="5" spans="1:1" x14ac:dyDescent="0.35">
      <c r="A5" t="s">
        <v>33</v>
      </c>
    </row>
    <row r="7" spans="1:1" x14ac:dyDescent="0.35">
      <c r="A7" t="s">
        <v>34</v>
      </c>
    </row>
    <row r="9" spans="1:1" x14ac:dyDescent="0.35">
      <c r="A9" t="s">
        <v>35</v>
      </c>
    </row>
    <row r="12" spans="1:1" x14ac:dyDescent="0.35">
      <c r="A12" t="s">
        <v>37</v>
      </c>
    </row>
    <row r="14" spans="1:1" x14ac:dyDescent="0.35">
      <c r="A14"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Control</vt:lpstr>
      <vt:lpstr>Dashboard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dc:creator>
  <cp:lastModifiedBy>Jacob Jeremiah</cp:lastModifiedBy>
  <dcterms:created xsi:type="dcterms:W3CDTF">2015-06-05T18:17:20Z</dcterms:created>
  <dcterms:modified xsi:type="dcterms:W3CDTF">2026-08-05T22:18:47Z</dcterms:modified>
</cp:coreProperties>
</file>