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Videos\Data Analysis\Data Analytics Journey_Jeremiah\01_Excel\07_What_If_Analysis\"/>
    </mc:Choice>
  </mc:AlternateContent>
  <xr:revisionPtr revIDLastSave="0" documentId="13_ncr:1_{3866B2B3-C5F8-4311-8506-804F627FD67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Employee_Data" sheetId="1" r:id="rId1"/>
    <sheet name="Scenario_Model" sheetId="2" r:id="rId2"/>
    <sheet name="Scenario Summary" sheetId="9" r:id="rId3"/>
    <sheet name="Data_Table" sheetId="3" r:id="rId4"/>
    <sheet name="Not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4" l="1"/>
  <c r="P10" i="4"/>
  <c r="Q10" i="4"/>
  <c r="N10" i="4"/>
  <c r="I13" i="4"/>
  <c r="I14" i="4" s="1"/>
  <c r="E5" i="4"/>
  <c r="E6" i="4" s="1"/>
  <c r="D5" i="4"/>
  <c r="D6" i="4" s="1"/>
  <c r="C5" i="4"/>
  <c r="C6" i="4" s="1"/>
  <c r="B3" i="4"/>
  <c r="B5" i="4" s="1"/>
  <c r="B6" i="4" s="1"/>
  <c r="J5" i="4"/>
  <c r="J6" i="4" s="1"/>
  <c r="I5" i="4"/>
  <c r="I6" i="4" s="1"/>
  <c r="K10" i="4" l="1"/>
  <c r="B5" i="3"/>
  <c r="B6" i="3" s="1"/>
  <c r="F12" i="2"/>
  <c r="F13" i="2" s="1"/>
  <c r="C12" i="2"/>
  <c r="C13" i="2" s="1"/>
  <c r="B12" i="2"/>
  <c r="B13" i="2" s="1"/>
  <c r="C5" i="2"/>
  <c r="C6" i="2" s="1"/>
  <c r="D5" i="2"/>
  <c r="D6" i="2" s="1"/>
  <c r="E5" i="2"/>
  <c r="E6" i="2" s="1"/>
  <c r="B3" i="2"/>
  <c r="B5" i="2" s="1"/>
  <c r="B6" i="2" s="1"/>
  <c r="B13" i="1"/>
  <c r="B12" i="1"/>
  <c r="D2" i="3" l="1"/>
</calcChain>
</file>

<file path=xl/sharedStrings.xml><?xml version="1.0" encoding="utf-8"?>
<sst xmlns="http://schemas.openxmlformats.org/spreadsheetml/2006/main" count="122" uniqueCount="60">
  <si>
    <t>Staff ID</t>
  </si>
  <si>
    <t>Employee</t>
  </si>
  <si>
    <t>Department</t>
  </si>
  <si>
    <t>Current Salary</t>
  </si>
  <si>
    <t>EMP001</t>
  </si>
  <si>
    <t>Jeremiah</t>
  </si>
  <si>
    <t>HR</t>
  </si>
  <si>
    <t>EMP002</t>
  </si>
  <si>
    <t>Ada</t>
  </si>
  <si>
    <t>Finance</t>
  </si>
  <si>
    <t>EMP003</t>
  </si>
  <si>
    <t>Tunde</t>
  </si>
  <si>
    <t>Sales</t>
  </si>
  <si>
    <t>EMP004</t>
  </si>
  <si>
    <t>Chika</t>
  </si>
  <si>
    <t>Operations</t>
  </si>
  <si>
    <t>EMP005</t>
  </si>
  <si>
    <t>Kemi</t>
  </si>
  <si>
    <t>Marketing</t>
  </si>
  <si>
    <t>EMP006</t>
  </si>
  <si>
    <t>James</t>
  </si>
  <si>
    <t>EMP007</t>
  </si>
  <si>
    <t>Ruth</t>
  </si>
  <si>
    <t>EMP008</t>
  </si>
  <si>
    <t>David</t>
  </si>
  <si>
    <t>Total Monthly Payroll</t>
  </si>
  <si>
    <t>Annual Payroll</t>
  </si>
  <si>
    <t>Item</t>
  </si>
  <si>
    <t>Value</t>
  </si>
  <si>
    <t>Current Payroll</t>
  </si>
  <si>
    <t>Salary Increase %</t>
  </si>
  <si>
    <t>New Payroll</t>
  </si>
  <si>
    <t>Monthly Increase</t>
  </si>
  <si>
    <t>1. Salary Increase Model</t>
  </si>
  <si>
    <t>Goal Seek</t>
  </si>
  <si>
    <t>2. Goal Seek</t>
  </si>
  <si>
    <t>3. Scenario Manager</t>
  </si>
  <si>
    <t>Conservative</t>
  </si>
  <si>
    <t>Expected</t>
  </si>
  <si>
    <t>Aggresive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</si>
  <si>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</si>
  <si>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</si>
  <si>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</si>
  <si>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</si>
  <si>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</si>
  <si>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</si>
  <si>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</si>
  <si>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$F$11</t>
  </si>
  <si>
    <t>$F$12</t>
  </si>
  <si>
    <t>$F$13</t>
  </si>
  <si>
    <t>Created by User on 7/19/2026
Modified by User on 7/19/2026</t>
  </si>
  <si>
    <t>$F$10</t>
  </si>
  <si>
    <t>Increase %</t>
  </si>
  <si>
    <t>New Employees</t>
  </si>
  <si>
    <t>Extra Payroll</t>
  </si>
  <si>
    <t>Data_Table</t>
  </si>
  <si>
    <t>3. Scenario Planning</t>
  </si>
  <si>
    <t>4. Data Table</t>
  </si>
  <si>
    <t>Average Salary</t>
  </si>
  <si>
    <t>Hiring Cost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</si>
</sst>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EACHWORKS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0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Fill="1" applyBorder="1" applyAlignment="1"/>
    <xf numFmtId="0" fontId="3" fillId="2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7" fillId="0" borderId="0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Fill="1" applyBorder="1" applyAlignment="1"/>
    <xf numFmtId="3" fontId="0" fillId="0" borderId="0" xfId="0" applyNumberFormat="1" applyFill="1" applyBorder="1" applyAlignment="1"/>
    <xf numFmtId="3" fontId="0" fillId="0" borderId="3" xfId="0" applyNumberFormat="1" applyFill="1" applyBorder="1" applyAlignment="1"/>
    <xf numFmtId="10" fontId="0" fillId="4" borderId="0" xfId="0" applyNumberForma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3" fontId="0" fillId="0" borderId="1" xfId="0" applyNumberFormat="1" applyBorder="1"/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A14" sqref="A14"/>
    </sheetView>
  </sheetViews>
  <sheetFormatPr defaultRowHeight="14.5" x14ac:dyDescent="0.35"/>
  <cols>
    <col min="1" max="1" width="19" bestFit="1" customWidth="1"/>
    <col min="2" max="2" width="12.26953125" bestFit="1" customWidth="1"/>
    <col min="3" max="3" width="11.6328125" customWidth="1"/>
    <col min="4" max="4" width="13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6">
        <v>250000</v>
      </c>
    </row>
    <row r="3" spans="1:4" x14ac:dyDescent="0.35">
      <c r="A3" s="3" t="s">
        <v>7</v>
      </c>
      <c r="B3" s="3" t="s">
        <v>8</v>
      </c>
      <c r="C3" s="3" t="s">
        <v>9</v>
      </c>
      <c r="D3" s="6">
        <v>320000</v>
      </c>
    </row>
    <row r="4" spans="1:4" x14ac:dyDescent="0.35">
      <c r="A4" s="3" t="s">
        <v>10</v>
      </c>
      <c r="B4" s="3" t="s">
        <v>11</v>
      </c>
      <c r="C4" s="3" t="s">
        <v>12</v>
      </c>
      <c r="D4" s="6">
        <v>210000</v>
      </c>
    </row>
    <row r="5" spans="1:4" x14ac:dyDescent="0.35">
      <c r="A5" s="3" t="s">
        <v>13</v>
      </c>
      <c r="B5" s="3" t="s">
        <v>14</v>
      </c>
      <c r="C5" s="3" t="s">
        <v>15</v>
      </c>
      <c r="D5" s="6">
        <v>280000</v>
      </c>
    </row>
    <row r="6" spans="1:4" x14ac:dyDescent="0.35">
      <c r="A6" s="3" t="s">
        <v>16</v>
      </c>
      <c r="B6" s="3" t="s">
        <v>17</v>
      </c>
      <c r="C6" s="3" t="s">
        <v>18</v>
      </c>
      <c r="D6" s="6">
        <v>240000</v>
      </c>
    </row>
    <row r="7" spans="1:4" x14ac:dyDescent="0.35">
      <c r="A7" s="3" t="s">
        <v>19</v>
      </c>
      <c r="B7" s="3" t="s">
        <v>20</v>
      </c>
      <c r="C7" s="3" t="s">
        <v>6</v>
      </c>
      <c r="D7" s="6">
        <v>350000</v>
      </c>
    </row>
    <row r="8" spans="1:4" x14ac:dyDescent="0.35">
      <c r="A8" s="3" t="s">
        <v>21</v>
      </c>
      <c r="B8" s="3" t="s">
        <v>22</v>
      </c>
      <c r="C8" s="3" t="s">
        <v>12</v>
      </c>
      <c r="D8" s="6">
        <v>180000</v>
      </c>
    </row>
    <row r="9" spans="1:4" x14ac:dyDescent="0.35">
      <c r="A9" s="3" t="s">
        <v>23</v>
      </c>
      <c r="B9" s="3" t="s">
        <v>24</v>
      </c>
      <c r="C9" s="3" t="s">
        <v>9</v>
      </c>
      <c r="D9" s="6">
        <v>400000</v>
      </c>
    </row>
    <row r="12" spans="1:4" x14ac:dyDescent="0.35">
      <c r="A12" s="4" t="s">
        <v>25</v>
      </c>
      <c r="B12" s="5">
        <f>SUM(D2:D9)</f>
        <v>2230000</v>
      </c>
    </row>
    <row r="13" spans="1:4" x14ac:dyDescent="0.35">
      <c r="A13" s="4" t="s">
        <v>26</v>
      </c>
      <c r="B13" s="5">
        <f>B12*12</f>
        <v>26760000</v>
      </c>
    </row>
    <row r="14" spans="1:4" x14ac:dyDescent="0.35">
      <c r="A14" s="4"/>
      <c r="B14" s="5"/>
    </row>
    <row r="15" spans="1:4" x14ac:dyDescent="0.35">
      <c r="A15" s="4"/>
      <c r="B15" s="5"/>
    </row>
    <row r="16" spans="1:4" x14ac:dyDescent="0.35">
      <c r="A16" s="4"/>
      <c r="B16" s="5"/>
    </row>
    <row r="17" spans="1:1" x14ac:dyDescent="0.35">
      <c r="A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1F6B-0090-4128-B091-181F575992E5}">
  <dimension ref="A1:F13"/>
  <sheetViews>
    <sheetView workbookViewId="0">
      <selection sqref="A1:E6"/>
    </sheetView>
  </sheetViews>
  <sheetFormatPr defaultRowHeight="14.5" x14ac:dyDescent="0.35"/>
  <cols>
    <col min="1" max="1" width="18.36328125" customWidth="1"/>
    <col min="2" max="2" width="11.26953125" bestFit="1" customWidth="1"/>
    <col min="3" max="3" width="11" customWidth="1"/>
    <col min="5" max="5" width="17.36328125" customWidth="1"/>
    <col min="6" max="6" width="11.54296875" customWidth="1"/>
  </cols>
  <sheetData>
    <row r="1" spans="1:6" x14ac:dyDescent="0.35">
      <c r="A1" s="7" t="s">
        <v>33</v>
      </c>
    </row>
    <row r="2" spans="1:6" x14ac:dyDescent="0.35">
      <c r="A2" s="8" t="s">
        <v>27</v>
      </c>
      <c r="B2" s="25" t="s">
        <v>28</v>
      </c>
      <c r="C2" s="25"/>
      <c r="D2" s="25"/>
      <c r="E2" s="25"/>
    </row>
    <row r="3" spans="1:6" x14ac:dyDescent="0.35">
      <c r="A3" s="9" t="s">
        <v>29</v>
      </c>
      <c r="B3" s="10">
        <f>Employee_Data!B12</f>
        <v>2230000</v>
      </c>
      <c r="C3" s="10">
        <v>2230000</v>
      </c>
      <c r="D3" s="10">
        <v>2230000</v>
      </c>
      <c r="E3" s="10">
        <v>2230000</v>
      </c>
    </row>
    <row r="4" spans="1:6" x14ac:dyDescent="0.35">
      <c r="A4" s="9" t="s">
        <v>30</v>
      </c>
      <c r="B4" s="11">
        <v>0.05</v>
      </c>
      <c r="C4" s="11">
        <v>0.08</v>
      </c>
      <c r="D4" s="11">
        <v>9.8654708520179379E-2</v>
      </c>
      <c r="E4" s="11">
        <v>0.15</v>
      </c>
    </row>
    <row r="5" spans="1:6" x14ac:dyDescent="0.35">
      <c r="A5" s="9" t="s">
        <v>31</v>
      </c>
      <c r="B5" s="10">
        <f>B3*(1+B4)</f>
        <v>2341500</v>
      </c>
      <c r="C5" s="10">
        <f t="shared" ref="C5:F5" si="0">C3*(1+C4)</f>
        <v>2408400</v>
      </c>
      <c r="D5" s="10">
        <f t="shared" si="0"/>
        <v>2450000</v>
      </c>
      <c r="E5" s="10">
        <f t="shared" si="0"/>
        <v>2564500</v>
      </c>
    </row>
    <row r="6" spans="1:6" x14ac:dyDescent="0.35">
      <c r="A6" s="9" t="s">
        <v>32</v>
      </c>
      <c r="B6" s="10">
        <f>B5-B3</f>
        <v>111500</v>
      </c>
      <c r="C6" s="10">
        <f t="shared" ref="C6:F6" si="1">C5-C3</f>
        <v>178400</v>
      </c>
      <c r="D6" s="10">
        <f t="shared" si="1"/>
        <v>220000</v>
      </c>
      <c r="E6" s="10">
        <f t="shared" si="1"/>
        <v>334500</v>
      </c>
    </row>
    <row r="8" spans="1:6" x14ac:dyDescent="0.35">
      <c r="A8" s="7" t="s">
        <v>35</v>
      </c>
      <c r="D8" s="14" t="s">
        <v>36</v>
      </c>
      <c r="E8" s="14"/>
    </row>
    <row r="9" spans="1:6" x14ac:dyDescent="0.35">
      <c r="A9" s="8" t="s">
        <v>27</v>
      </c>
      <c r="B9" s="26" t="s">
        <v>28</v>
      </c>
      <c r="C9" s="26" t="s">
        <v>34</v>
      </c>
      <c r="D9" s="27"/>
      <c r="E9" s="8" t="s">
        <v>27</v>
      </c>
      <c r="F9" s="26" t="s">
        <v>34</v>
      </c>
    </row>
    <row r="10" spans="1:6" x14ac:dyDescent="0.35">
      <c r="A10" s="9" t="s">
        <v>29</v>
      </c>
      <c r="B10" s="10">
        <v>2300000</v>
      </c>
      <c r="C10" s="10">
        <v>2300000</v>
      </c>
      <c r="E10" s="9" t="s">
        <v>29</v>
      </c>
      <c r="F10" s="10">
        <v>2300000</v>
      </c>
    </row>
    <row r="11" spans="1:6" x14ac:dyDescent="0.35">
      <c r="A11" s="9" t="s">
        <v>30</v>
      </c>
      <c r="B11" s="13">
        <v>0.05</v>
      </c>
      <c r="C11" s="13">
        <v>6.5217391304347783E-2</v>
      </c>
      <c r="E11" s="9" t="s">
        <v>30</v>
      </c>
      <c r="F11" s="13">
        <v>0.05</v>
      </c>
    </row>
    <row r="12" spans="1:6" x14ac:dyDescent="0.35">
      <c r="A12" s="9" t="s">
        <v>31</v>
      </c>
      <c r="B12" s="10">
        <f>B10*(1+B11)</f>
        <v>2415000</v>
      </c>
      <c r="C12" s="10">
        <f>C10*(1+C11)</f>
        <v>2449999.9999999995</v>
      </c>
      <c r="E12" s="9" t="s">
        <v>31</v>
      </c>
      <c r="F12" s="10">
        <f>F10*(1+F11)</f>
        <v>2415000</v>
      </c>
    </row>
    <row r="13" spans="1:6" x14ac:dyDescent="0.35">
      <c r="A13" s="9" t="s">
        <v>32</v>
      </c>
      <c r="B13" s="10">
        <f>B12-B10</f>
        <v>115000</v>
      </c>
      <c r="C13" s="10">
        <f>C12-C10</f>
        <v>149999.99999999953</v>
      </c>
      <c r="E13" s="9" t="s">
        <v>32</v>
      </c>
      <c r="F13" s="10">
        <f>F12-F10</f>
        <v>115000</v>
      </c>
    </row>
  </sheetData>
  <scenarios current="0" show="2" sqref="F10:F13">
    <scenario name="Conservative" locked="1" count="1" user="User" comment="Created by User on 7/19/2026_x000a_Modified by User on 7/19/2026_x000a_Modified by User on 7/21/2026">
      <inputCells r="F11" val="0.03" numFmtId="10"/>
    </scenario>
    <scenario name="Expected" locked="1" count="1" user="User" comment="Created by User on 7/19/2026_x000a_Modified by User on 7/19/2026_x000a_Modified by User on 7/21/2026">
      <inputCells r="F11" val="0.07" numFmtId="10"/>
    </scenario>
    <scenario name="Aggresive" locked="1" count="1" user="User" comment="Created by User on 7/19/2026_x000a_Modified by User on 7/19/2026_x000a_Modified by User on 7/21/2026">
      <inputCells r="F11" val="0.12" numFmtId="10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B7EC-0A65-4575-8991-7953D0ABE168}">
  <sheetPr>
    <outlinePr summaryBelow="0"/>
  </sheetPr>
  <dimension ref="B1:G14"/>
  <sheetViews>
    <sheetView showGridLines="0" workbookViewId="0">
      <selection activeCell="B2" sqref="B2:G11"/>
    </sheetView>
  </sheetViews>
  <sheetFormatPr defaultRowHeight="14.5" outlineLevelRow="1" outlineLevelCol="1" x14ac:dyDescent="0.35"/>
  <cols>
    <col min="3" max="3" width="5.7265625" bestFit="1" customWidth="1"/>
    <col min="4" max="7" width="12.54296875" bestFit="1" customWidth="1" outlineLevel="1"/>
  </cols>
  <sheetData>
    <row r="1" spans="2:7" ht="15" thickBot="1" x14ac:dyDescent="0.4"/>
    <row r="2" spans="2:7" ht="15.5" x14ac:dyDescent="0.35">
      <c r="B2" s="17" t="s">
        <v>40</v>
      </c>
      <c r="C2" s="17"/>
      <c r="D2" s="22"/>
      <c r="E2" s="22"/>
      <c r="F2" s="22"/>
      <c r="G2" s="22"/>
    </row>
    <row r="3" spans="2:7" ht="15.5" collapsed="1" x14ac:dyDescent="0.35">
      <c r="B3" s="16"/>
      <c r="C3" s="16"/>
      <c r="D3" s="23" t="s">
        <v>42</v>
      </c>
      <c r="E3" s="23" t="s">
        <v>37</v>
      </c>
      <c r="F3" s="23" t="s">
        <v>38</v>
      </c>
      <c r="G3" s="23" t="s">
        <v>39</v>
      </c>
    </row>
    <row r="4" spans="2:7" ht="42" hidden="1" outlineLevel="1" x14ac:dyDescent="0.35">
      <c r="B4" s="19"/>
      <c r="C4" s="19"/>
      <c r="D4" s="15"/>
      <c r="E4" s="24" t="s">
        <v>50</v>
      </c>
      <c r="F4" s="24" t="s">
        <v>50</v>
      </c>
      <c r="G4" s="24" t="s">
        <v>50</v>
      </c>
    </row>
    <row r="5" spans="2:7" x14ac:dyDescent="0.35">
      <c r="B5" s="20" t="s">
        <v>41</v>
      </c>
      <c r="C5" s="20"/>
      <c r="D5" s="18"/>
      <c r="E5" s="18"/>
      <c r="F5" s="18"/>
      <c r="G5" s="18"/>
    </row>
    <row r="6" spans="2:7" outlineLevel="1" x14ac:dyDescent="0.35">
      <c r="B6" s="19"/>
      <c r="C6" s="19" t="s">
        <v>47</v>
      </c>
      <c r="D6" s="28">
        <v>0.05</v>
      </c>
      <c r="E6" s="31">
        <v>0.03</v>
      </c>
      <c r="F6" s="31">
        <v>7.0000000000000007E-2</v>
      </c>
      <c r="G6" s="31">
        <v>0.12</v>
      </c>
    </row>
    <row r="7" spans="2:7" x14ac:dyDescent="0.35">
      <c r="B7" s="20" t="s">
        <v>43</v>
      </c>
      <c r="C7" s="20"/>
      <c r="D7" s="18"/>
      <c r="E7" s="18"/>
      <c r="F7" s="18"/>
      <c r="G7" s="18"/>
    </row>
    <row r="8" spans="2:7" outlineLevel="1" x14ac:dyDescent="0.35">
      <c r="B8" s="19"/>
      <c r="C8" s="19" t="s">
        <v>51</v>
      </c>
      <c r="D8" s="29">
        <v>2300000</v>
      </c>
      <c r="E8" s="29">
        <v>2300000</v>
      </c>
      <c r="F8" s="29">
        <v>2300000</v>
      </c>
      <c r="G8" s="29">
        <v>2300000</v>
      </c>
    </row>
    <row r="9" spans="2:7" outlineLevel="1" x14ac:dyDescent="0.35">
      <c r="B9" s="19"/>
      <c r="C9" s="19" t="s">
        <v>47</v>
      </c>
      <c r="D9" s="28">
        <v>0.05</v>
      </c>
      <c r="E9" s="28">
        <v>0.03</v>
      </c>
      <c r="F9" s="28">
        <v>7.0000000000000007E-2</v>
      </c>
      <c r="G9" s="28">
        <v>0.12</v>
      </c>
    </row>
    <row r="10" spans="2:7" outlineLevel="1" x14ac:dyDescent="0.35">
      <c r="B10" s="19"/>
      <c r="C10" s="19" t="s">
        <v>48</v>
      </c>
      <c r="D10" s="29">
        <v>2415000</v>
      </c>
      <c r="E10" s="29">
        <v>2369000</v>
      </c>
      <c r="F10" s="29">
        <v>2461000</v>
      </c>
      <c r="G10" s="29">
        <v>2576000</v>
      </c>
    </row>
    <row r="11" spans="2:7" ht="15" outlineLevel="1" thickBot="1" x14ac:dyDescent="0.4">
      <c r="B11" s="21"/>
      <c r="C11" s="21" t="s">
        <v>49</v>
      </c>
      <c r="D11" s="30">
        <v>115000</v>
      </c>
      <c r="E11" s="30">
        <v>69000</v>
      </c>
      <c r="F11" s="30">
        <v>161000</v>
      </c>
      <c r="G11" s="30">
        <v>276000</v>
      </c>
    </row>
    <row r="12" spans="2:7" x14ac:dyDescent="0.35">
      <c r="B12" t="s">
        <v>44</v>
      </c>
    </row>
    <row r="13" spans="2:7" x14ac:dyDescent="0.35">
      <c r="B13" t="s">
        <v>45</v>
      </c>
    </row>
    <row r="14" spans="2:7" x14ac:dyDescent="0.35">
      <c r="B1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6D7B-F37F-4E1B-9B89-7185C2AE55BF}">
  <dimension ref="A1:D10"/>
  <sheetViews>
    <sheetView workbookViewId="0">
      <selection activeCell="A2" sqref="A2:D10"/>
    </sheetView>
  </sheetViews>
  <sheetFormatPr defaultRowHeight="14.5" x14ac:dyDescent="0.35"/>
  <cols>
    <col min="1" max="1" width="17.6328125" customWidth="1"/>
    <col min="3" max="3" width="11.54296875" customWidth="1"/>
    <col min="4" max="4" width="14.7265625" customWidth="1"/>
    <col min="11" max="11" width="12.26953125" customWidth="1"/>
    <col min="12" max="12" width="13.6328125" customWidth="1"/>
  </cols>
  <sheetData>
    <row r="1" spans="1:4" x14ac:dyDescent="0.35">
      <c r="A1" t="s">
        <v>55</v>
      </c>
    </row>
    <row r="2" spans="1:4" x14ac:dyDescent="0.35">
      <c r="A2" s="8" t="s">
        <v>27</v>
      </c>
      <c r="B2" s="32" t="s">
        <v>28</v>
      </c>
      <c r="C2" s="33" t="s">
        <v>52</v>
      </c>
      <c r="D2" s="34">
        <f>B5</f>
        <v>2341500</v>
      </c>
    </row>
    <row r="3" spans="1:4" x14ac:dyDescent="0.35">
      <c r="A3" s="9" t="s">
        <v>29</v>
      </c>
      <c r="B3" s="10">
        <v>2230000</v>
      </c>
      <c r="C3" s="11">
        <v>0</v>
      </c>
      <c r="D3" s="10">
        <f t="dataTable" ref="D3:D10" dt2D="0" dtr="0" r1="B4"/>
        <v>2230000</v>
      </c>
    </row>
    <row r="4" spans="1:4" x14ac:dyDescent="0.35">
      <c r="A4" s="9" t="s">
        <v>30</v>
      </c>
      <c r="B4" s="11">
        <v>0.05</v>
      </c>
      <c r="C4" s="11">
        <v>0.02</v>
      </c>
      <c r="D4" s="10">
        <v>2274600</v>
      </c>
    </row>
    <row r="5" spans="1:4" x14ac:dyDescent="0.35">
      <c r="A5" s="9" t="s">
        <v>31</v>
      </c>
      <c r="B5" s="10">
        <f t="shared" ref="B5" si="0">B3*(1+B4)</f>
        <v>2341500</v>
      </c>
      <c r="C5" s="11">
        <v>0.04</v>
      </c>
      <c r="D5" s="10">
        <v>2319200</v>
      </c>
    </row>
    <row r="6" spans="1:4" x14ac:dyDescent="0.35">
      <c r="A6" s="9" t="s">
        <v>32</v>
      </c>
      <c r="B6" s="10">
        <f t="shared" ref="B6" si="1">B5-B3</f>
        <v>111500</v>
      </c>
      <c r="C6" s="11">
        <v>0.06</v>
      </c>
      <c r="D6" s="10">
        <v>2363800</v>
      </c>
    </row>
    <row r="7" spans="1:4" x14ac:dyDescent="0.35">
      <c r="C7" s="11">
        <v>0.08</v>
      </c>
      <c r="D7" s="10">
        <v>2408400</v>
      </c>
    </row>
    <row r="8" spans="1:4" x14ac:dyDescent="0.35">
      <c r="C8" s="11">
        <v>0.1</v>
      </c>
      <c r="D8" s="10">
        <v>2453000</v>
      </c>
    </row>
    <row r="9" spans="1:4" x14ac:dyDescent="0.35">
      <c r="C9" s="11">
        <v>0.12</v>
      </c>
      <c r="D9" s="10">
        <v>2497600.0000000005</v>
      </c>
    </row>
    <row r="10" spans="1:4" x14ac:dyDescent="0.35">
      <c r="C10" s="11">
        <v>0.15</v>
      </c>
      <c r="D10" s="10">
        <v>2564500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FAB0-B296-4A43-B000-1DEAE1449971}">
  <dimension ref="A1:R18"/>
  <sheetViews>
    <sheetView showGridLines="0" tabSelected="1" zoomScale="70" zoomScaleNormal="70" workbookViewId="0">
      <selection activeCell="N25" sqref="N25"/>
    </sheetView>
  </sheetViews>
  <sheetFormatPr defaultRowHeight="14.5" x14ac:dyDescent="0.35"/>
  <cols>
    <col min="1" max="1" width="24.81640625" bestFit="1" customWidth="1"/>
    <col min="2" max="2" width="9.54296875" bestFit="1" customWidth="1"/>
    <col min="3" max="3" width="12.54296875" bestFit="1" customWidth="1"/>
    <col min="4" max="4" width="10.54296875" customWidth="1"/>
    <col min="5" max="6" width="9.54296875" bestFit="1" customWidth="1"/>
    <col min="7" max="7" width="5.90625" customWidth="1"/>
    <col min="8" max="8" width="17.453125" customWidth="1"/>
    <col min="9" max="9" width="9.54296875" bestFit="1" customWidth="1"/>
    <col min="10" max="10" width="10.81640625" customWidth="1"/>
    <col min="11" max="11" width="9.54296875" bestFit="1" customWidth="1"/>
    <col min="12" max="12" width="6.81640625" customWidth="1"/>
    <col min="13" max="13" width="18.1796875" bestFit="1" customWidth="1"/>
    <col min="14" max="14" width="16.90625" customWidth="1"/>
    <col min="15" max="17" width="12.1796875" bestFit="1" customWidth="1"/>
    <col min="18" max="18" width="8.81640625" bestFit="1" customWidth="1"/>
  </cols>
  <sheetData>
    <row r="1" spans="1:18" x14ac:dyDescent="0.35">
      <c r="A1" s="7" t="s">
        <v>33</v>
      </c>
      <c r="H1" s="7" t="s">
        <v>35</v>
      </c>
      <c r="M1" s="7" t="s">
        <v>59</v>
      </c>
    </row>
    <row r="2" spans="1:18" x14ac:dyDescent="0.35">
      <c r="A2" s="8" t="s">
        <v>27</v>
      </c>
      <c r="B2" s="38" t="s">
        <v>28</v>
      </c>
      <c r="C2" s="39"/>
      <c r="D2" s="39"/>
      <c r="E2" s="40"/>
      <c r="H2" s="8" t="s">
        <v>27</v>
      </c>
      <c r="I2" s="26" t="s">
        <v>28</v>
      </c>
      <c r="J2" s="26" t="s">
        <v>34</v>
      </c>
      <c r="M2" s="37" t="s">
        <v>53</v>
      </c>
      <c r="N2" s="37" t="s">
        <v>54</v>
      </c>
    </row>
    <row r="3" spans="1:18" x14ac:dyDescent="0.35">
      <c r="A3" s="9" t="s">
        <v>29</v>
      </c>
      <c r="B3" s="10">
        <f>Employee_Data!B12</f>
        <v>2230000</v>
      </c>
      <c r="C3" s="10">
        <v>2230000</v>
      </c>
      <c r="D3" s="10">
        <v>2230000</v>
      </c>
      <c r="E3" s="10">
        <v>2230000</v>
      </c>
      <c r="H3" s="9" t="s">
        <v>29</v>
      </c>
      <c r="I3" s="10">
        <v>2300000</v>
      </c>
      <c r="J3" s="10">
        <v>2300000</v>
      </c>
      <c r="M3" s="36">
        <v>5</v>
      </c>
      <c r="N3" s="36"/>
    </row>
    <row r="4" spans="1:18" x14ac:dyDescent="0.35">
      <c r="A4" s="9" t="s">
        <v>30</v>
      </c>
      <c r="B4" s="11">
        <v>0.05</v>
      </c>
      <c r="C4" s="11">
        <v>0.08</v>
      </c>
      <c r="D4" s="11">
        <v>9.8654708520179379E-2</v>
      </c>
      <c r="E4" s="11">
        <v>0.15</v>
      </c>
      <c r="H4" s="9" t="s">
        <v>30</v>
      </c>
      <c r="I4" s="13">
        <v>0.05</v>
      </c>
      <c r="J4" s="13">
        <v>6.5217391304347783E-2</v>
      </c>
      <c r="M4" s="36">
        <v>10</v>
      </c>
      <c r="N4" s="36"/>
    </row>
    <row r="5" spans="1:18" x14ac:dyDescent="0.35">
      <c r="A5" s="9" t="s">
        <v>31</v>
      </c>
      <c r="B5" s="10">
        <f>B3*(1+B4)</f>
        <v>2341500</v>
      </c>
      <c r="C5" s="10">
        <f t="shared" ref="C5:E5" si="0">C3*(1+C4)</f>
        <v>2408400</v>
      </c>
      <c r="D5" s="10">
        <f t="shared" si="0"/>
        <v>2450000</v>
      </c>
      <c r="E5" s="10">
        <f t="shared" si="0"/>
        <v>2564500</v>
      </c>
      <c r="H5" s="9" t="s">
        <v>31</v>
      </c>
      <c r="I5" s="10">
        <f>I3*(1+I4)</f>
        <v>2415000</v>
      </c>
      <c r="J5" s="10">
        <f>J3*(1+J4)</f>
        <v>2449999.9999999995</v>
      </c>
      <c r="M5" s="36">
        <v>20</v>
      </c>
      <c r="N5" s="36"/>
    </row>
    <row r="6" spans="1:18" x14ac:dyDescent="0.35">
      <c r="A6" s="9" t="s">
        <v>32</v>
      </c>
      <c r="B6" s="10">
        <f>B5-B3</f>
        <v>111500</v>
      </c>
      <c r="C6" s="10">
        <f t="shared" ref="C6:E6" si="1">C5-C3</f>
        <v>178400</v>
      </c>
      <c r="D6" s="10">
        <f t="shared" si="1"/>
        <v>220000</v>
      </c>
      <c r="E6" s="10">
        <f t="shared" si="1"/>
        <v>334500</v>
      </c>
      <c r="H6" s="9" t="s">
        <v>32</v>
      </c>
      <c r="I6" s="10">
        <f>I5-I3</f>
        <v>115000</v>
      </c>
      <c r="J6" s="10">
        <f>J5-J3</f>
        <v>149999.99999999953</v>
      </c>
      <c r="M6" s="36">
        <v>30</v>
      </c>
      <c r="N6" s="36"/>
    </row>
    <row r="7" spans="1:18" x14ac:dyDescent="0.35">
      <c r="M7" s="8" t="s">
        <v>27</v>
      </c>
      <c r="N7" s="38" t="s">
        <v>28</v>
      </c>
      <c r="O7" s="39"/>
      <c r="P7" s="39"/>
      <c r="Q7" s="40"/>
    </row>
    <row r="8" spans="1:18" x14ac:dyDescent="0.35">
      <c r="M8" s="12" t="s">
        <v>58</v>
      </c>
      <c r="N8" s="35">
        <v>250000</v>
      </c>
      <c r="O8" s="35">
        <v>250000</v>
      </c>
      <c r="P8" s="35">
        <v>250000</v>
      </c>
      <c r="Q8" s="35">
        <v>250000</v>
      </c>
    </row>
    <row r="9" spans="1:18" ht="15" thickBot="1" x14ac:dyDescent="0.4">
      <c r="A9" s="7" t="s">
        <v>56</v>
      </c>
      <c r="H9" s="7" t="s">
        <v>57</v>
      </c>
      <c r="M9" s="12" t="s">
        <v>53</v>
      </c>
      <c r="N9" s="36">
        <v>5</v>
      </c>
      <c r="O9" s="12">
        <v>10</v>
      </c>
      <c r="P9" s="12">
        <v>20</v>
      </c>
      <c r="Q9" s="12">
        <v>30</v>
      </c>
    </row>
    <row r="10" spans="1:18" ht="15.5" x14ac:dyDescent="0.35">
      <c r="A10" s="17" t="s">
        <v>40</v>
      </c>
      <c r="B10" s="17"/>
      <c r="C10" s="22"/>
      <c r="D10" s="22"/>
      <c r="E10" s="22"/>
      <c r="F10" s="22"/>
      <c r="H10" s="8" t="s">
        <v>27</v>
      </c>
      <c r="I10" s="32" t="s">
        <v>28</v>
      </c>
      <c r="J10" s="33" t="s">
        <v>52</v>
      </c>
      <c r="K10" s="34">
        <f>I13</f>
        <v>2341500</v>
      </c>
      <c r="M10" s="12" t="s">
        <v>54</v>
      </c>
      <c r="N10" s="35">
        <f>N9*N8</f>
        <v>1250000</v>
      </c>
      <c r="O10" s="35">
        <f t="shared" ref="O10:R10" si="2">O9*O8</f>
        <v>2500000</v>
      </c>
      <c r="P10" s="35">
        <f t="shared" si="2"/>
        <v>5000000</v>
      </c>
      <c r="Q10" s="35">
        <f t="shared" si="2"/>
        <v>7500000</v>
      </c>
      <c r="R10" s="5"/>
    </row>
    <row r="11" spans="1:18" ht="15.5" x14ac:dyDescent="0.35">
      <c r="A11" s="16"/>
      <c r="B11" s="16"/>
      <c r="C11" s="23" t="s">
        <v>42</v>
      </c>
      <c r="D11" s="23" t="s">
        <v>37</v>
      </c>
      <c r="E11" s="23" t="s">
        <v>38</v>
      </c>
      <c r="F11" s="23" t="s">
        <v>39</v>
      </c>
      <c r="H11" s="9" t="s">
        <v>29</v>
      </c>
      <c r="I11" s="10">
        <v>2230000</v>
      </c>
      <c r="J11" s="11">
        <v>0</v>
      </c>
      <c r="K11" s="10">
        <v>2230000</v>
      </c>
    </row>
    <row r="12" spans="1:18" x14ac:dyDescent="0.35">
      <c r="A12" s="20" t="s">
        <v>41</v>
      </c>
      <c r="B12" s="20"/>
      <c r="C12" s="18"/>
      <c r="D12" s="18"/>
      <c r="E12" s="18"/>
      <c r="F12" s="18"/>
      <c r="H12" s="9" t="s">
        <v>30</v>
      </c>
      <c r="I12" s="11">
        <v>0.05</v>
      </c>
      <c r="J12" s="11">
        <v>0.02</v>
      </c>
      <c r="K12" s="10">
        <v>2274600</v>
      </c>
    </row>
    <row r="13" spans="1:18" x14ac:dyDescent="0.35">
      <c r="A13" s="19"/>
      <c r="B13" s="19" t="s">
        <v>47</v>
      </c>
      <c r="C13" s="28">
        <v>0.05</v>
      </c>
      <c r="D13" s="31">
        <v>0.03</v>
      </c>
      <c r="E13" s="31">
        <v>7.0000000000000007E-2</v>
      </c>
      <c r="F13" s="31">
        <v>0.12</v>
      </c>
      <c r="H13" s="9" t="s">
        <v>31</v>
      </c>
      <c r="I13" s="10">
        <f t="shared" ref="I13" si="3">I11*(1+I12)</f>
        <v>2341500</v>
      </c>
      <c r="J13" s="11">
        <v>0.04</v>
      </c>
      <c r="K13" s="10">
        <v>2319200</v>
      </c>
    </row>
    <row r="14" spans="1:18" x14ac:dyDescent="0.35">
      <c r="A14" s="20" t="s">
        <v>43</v>
      </c>
      <c r="B14" s="20"/>
      <c r="C14" s="18"/>
      <c r="D14" s="18"/>
      <c r="E14" s="18"/>
      <c r="F14" s="18"/>
      <c r="H14" s="9" t="s">
        <v>32</v>
      </c>
      <c r="I14" s="10">
        <f t="shared" ref="I14" si="4">I13-I11</f>
        <v>111500</v>
      </c>
      <c r="J14" s="11">
        <v>0.06</v>
      </c>
      <c r="K14" s="10">
        <v>2363800</v>
      </c>
    </row>
    <row r="15" spans="1:18" x14ac:dyDescent="0.35">
      <c r="A15" s="19"/>
      <c r="B15" s="19" t="s">
        <v>51</v>
      </c>
      <c r="C15" s="29">
        <v>2300000</v>
      </c>
      <c r="D15" s="29">
        <v>2300000</v>
      </c>
      <c r="E15" s="29">
        <v>2300000</v>
      </c>
      <c r="F15" s="29">
        <v>2300000</v>
      </c>
      <c r="J15" s="11">
        <v>0.08</v>
      </c>
      <c r="K15" s="10">
        <v>2408400</v>
      </c>
    </row>
    <row r="16" spans="1:18" x14ac:dyDescent="0.35">
      <c r="A16" s="19"/>
      <c r="B16" s="19" t="s">
        <v>47</v>
      </c>
      <c r="C16" s="28">
        <v>0.05</v>
      </c>
      <c r="D16" s="28">
        <v>0.03</v>
      </c>
      <c r="E16" s="28">
        <v>7.0000000000000007E-2</v>
      </c>
      <c r="F16" s="28">
        <v>0.12</v>
      </c>
      <c r="J16" s="11">
        <v>0.1</v>
      </c>
      <c r="K16" s="10">
        <v>2453000</v>
      </c>
    </row>
    <row r="17" spans="1:11" x14ac:dyDescent="0.35">
      <c r="A17" s="19"/>
      <c r="B17" s="19" t="s">
        <v>48</v>
      </c>
      <c r="C17" s="29">
        <v>2415000</v>
      </c>
      <c r="D17" s="29">
        <v>2369000</v>
      </c>
      <c r="E17" s="29">
        <v>2461000</v>
      </c>
      <c r="F17" s="29">
        <v>2576000</v>
      </c>
      <c r="J17" s="11">
        <v>0.12</v>
      </c>
      <c r="K17" s="10">
        <v>2497600.0000000005</v>
      </c>
    </row>
    <row r="18" spans="1:11" ht="15" thickBot="1" x14ac:dyDescent="0.4">
      <c r="A18" s="21"/>
      <c r="B18" s="21" t="s">
        <v>49</v>
      </c>
      <c r="C18" s="30">
        <v>115000</v>
      </c>
      <c r="D18" s="30">
        <v>69000</v>
      </c>
      <c r="E18" s="30">
        <v>161000</v>
      </c>
      <c r="F18" s="30">
        <v>276000</v>
      </c>
      <c r="J18" s="11">
        <v>0.15</v>
      </c>
      <c r="K18" s="10">
        <v>2564500</v>
      </c>
    </row>
  </sheetData>
  <mergeCells count="2">
    <mergeCell ref="N7:Q7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Employee_Data</vt:lpstr>
      <vt:lpstr>Scenario_Model</vt:lpstr>
      <vt:lpstr>Scenario Summary</vt:lpstr>
      <vt:lpstr>Data_Table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Jacob Jeremiah</cp:lastModifiedBy>
  <dcterms:created xsi:type="dcterms:W3CDTF">2015-06-05T18:17:20Z</dcterms:created>
  <dcterms:modified xsi:type="dcterms:W3CDTF">2026-07-23T22:27:35Z</dcterms:modified>
</cp:coreProperties>
</file>